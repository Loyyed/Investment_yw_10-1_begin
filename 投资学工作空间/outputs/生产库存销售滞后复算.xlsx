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0b5a0cba6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与滞后" sheetId="1" r:id="Ra53681a3d46f4587"/>
    <x:sheet xmlns:r="http://schemas.openxmlformats.org/officeDocument/2006/relationships" name="配对" sheetId="2" r:id="Rff1e45fea7a44335"/>
    <x:sheet xmlns:r="http://schemas.openxmlformats.org/officeDocument/2006/relationships" name="原数" sheetId="3" r:id="R6ba9f8a1111247c4"/>
  </x:sheets>
</x:workbook>
</file>

<file path=xl/comments1.xml><?xml version="1.0" encoding="utf-8"?>
<x:comments xmlns:x="http://schemas.openxmlformats.org/spreadsheetml/2006/main">
  <x:authors>
    <x:author/>
  </x:authors>
  <x:commentList>
    <x:comment ref="C21" authorId="0">
      <x:text>
        <x:r>
          <x:t>PDF：sources/annual_reports/pdf/600519_2016_贵州茅台_2016年年度报告.pdf
SHA256：dd26d9e0017a938cb5e1aa0a830bab7502d0de1f85eb7c00abffb4888c8c20ad
定位：8、12页
核验入口：R2016-01—04</x:t>
        </x:r>
      </x:text>
    </x:comment>
    <x:comment ref="C22" authorId="0">
      <x:text>
        <x:r>
          <x:t>PDF：sources/annual_reports/pdf/600519_2017_贵州茅台_2017年年度报告.pdf
SHA256：b66a4641e5f2313ed7964e5bef0026021ff2164459d0e0615f1b4385ba1a78e3
定位：PDF／报告11页；产品情况／产销量情况／期末库存对应行；PDF／报告7、11页；产品情况／产销量情况／期末库存对应行
核验入口：R2017-01；R2017-02</x:t>
        </x:r>
      </x:text>
    </x:comment>
    <x:comment ref="C23" authorId="0">
      <x:text>
        <x:r>
          <x:t>PDF：sources/annual_reports/pdf/600519_2018_贵州茅台_2018年年度报告.pdf
SHA256：08728fc937836cfeed8e98aeda932da54c737efa6de4280ae001476c0e393dec
定位：PDF／报告14（产能单位与定义13页）页；产品情况／产销量情况／期末库存对应行；PDF／报告9、13—14页；产品情况／产销量情况／期末库存对应行
核验入口：R2018-01；R2018-02</x:t>
        </x:r>
      </x:text>
    </x:comment>
    <x:comment ref="C24" authorId="0">
      <x:text>
        <x:r>
          <x:t>PDF：sources/annual_reports/pdf/600519_2019_贵州茅台_2019年年度报告.pdf
SHA256：2a2b384ab09a7bc295fd2e33b999acdf4212340b0141031c991060dea2fad03d
定位：PDF／报告13—14页；产品情况／产销量情况／期末库存对应行；PDF／报告9、13页；产品情况／产销量情况／期末库存对应行
核验入口：R2019-01；R2019-02</x:t>
        </x:r>
      </x:text>
    </x:comment>
    <x:comment ref="C25" authorId="0">
      <x:text>
        <x:r>
          <x:t>PDF：sources/annual_reports/pdf/600519_2020_贵州茅台_贵州茅台2020年年度报告_2021-03-30.pdf
SHA256：464e4c179a18ebea566c5ddc5a4dbcfb83824227e9a10eb1ba0baa23c9d58d2c
定位：库存12页；产品[13]页；独立总量PDF／报告9页；产销量情况分析表，酒类行库存量列
核验入口：L03-A2020-B；R2020-08</x:t>
        </x:r>
      </x:text>
    </x:comment>
    <x:comment ref="C26" authorId="0">
      <x:text>
        <x:r>
          <x:t>PDF：sources/annual_reports/pdf/600519_2021_贵州茅台_贵州茅台2021年年度报告_2022-03-30.pdf
SHA256：f65effdde58bcea99fd6bdb53f61b31d5c432e6dfb2661e5caf05156a433ea5a
定位：库存13页；产品[14]页；独立总量PDF／报告9页；产销量情况分析表，酒类行库存量列
核验入口：L03-A2021-B；R2021-08</x:t>
        </x:r>
      </x:text>
    </x:comment>
    <x:comment ref="C27" authorId="0">
      <x:text>
        <x:r>
          <x:t>PDF：sources/annual_reports/pdf/600519_2022_贵州茅台_贵州茅台2022年年度报告_2023-03-30.pdf
SHA256：de394171306b9f2c7d79f54990de2a9e9c99feb54413150180179e24f0d83358
定位：库存14页；产品[14, 15]页；独立总量PDF／报告9页；产销量情况分析表，酒类行库存量列
核验入口：L03-A2022-B；R2022-08</x:t>
        </x:r>
      </x:text>
    </x:comment>
    <x:comment ref="C28" authorId="0">
      <x:text>
        <x:r>
          <x:t>PDF：sources/annual_reports/pdf/600519_2023_贵州茅台_贵州茅台2023年年度报告_2024-04-03.pdf
SHA256：2125ff97a452ea79b0d784e2432f7d224b6aecc330b644b593477d69e22f4ed1
定位：库存15页；产品[15]页；独立总量PDF／报告10页；产销量情况分析表，酒类行库存量列
核验入口：L03-A2023-B；R2023-08</x:t>
        </x:r>
      </x:text>
    </x:comment>
    <x:comment ref="C29" authorId="0">
      <x:text>
        <x:r>
          <x:t>PDF：sources/annual_reports/pdf/600519_2024_贵州茅台_贵州茅台2024年年度报告_2025-04-03.pdf
SHA256：5299f4940e2ce4e91084b73dc457d558b9d335fa76fbfee6227e4254eb7f4a30
定位：库存14页；产品[15]页；独立总量PDF／报告9—10页；产销量情况分析表，酒类行库存量列
核验入口：L03-A2024-B；R2024-24</x:t>
        </x:r>
      </x:text>
    </x:comment>
    <x:comment ref="C30" authorId="0">
      <x:text>
        <x:r>
          <x:t>PDF：sources/annual_reports/pdf/600519_2025_贵州茅台_2025年年度报告.pdf
SHA256：474905deeaf0f875fc0a1b097a626c0c7852c427faadc5d7fc7816cbf45ea288
定位：PDF／报告16（单位与产能定义15页）页；产品情况／产销量情况／期末库存对应行；PDF／报告10、15—16页；产品情况／产销量情况／期末库存对应行
核验入口：R2025-01；R2025-02；R2025-03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0.0000"/>
  </x:numFmts>
  <x:fonts count="6">
    <x:font>
      <x:sz val="11"/>
      <x:name val="Carlito"/>
    </x:font>
    <x:font>
      <x:sz val="11"/>
      <x:color rgb="FF172B4D"/>
      <x:name val="Microsoft YaHei"/>
    </x:font>
    <x:font>
      <x:b/>
      <x:sz val="18"/>
      <x:color rgb="FF263E5B"/>
      <x:name val="Microsoft YaHei"/>
    </x:font>
    <x:font>
      <x:b/>
      <x:sz val="11"/>
      <x:color rgb="FFFFFFFF"/>
      <x:name val="Microsoft YaHei"/>
    </x:font>
    <x:font>
      <x:sz val="11"/>
      <x:color rgb="FF1B4B8A"/>
      <x:name val="Microsoft YaHei"/>
    </x:font>
    <x:font>
      <x:b/>
      <x:sz val="11"/>
      <x:color rgb="FF172B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875700"/>
      </x:font>
      <x:fill>
        <x:patternFill patternType="solid">
          <x:bgColor rgb="FFFFF2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89d2279d04def" /><Relationship Type="http://schemas.openxmlformats.org/officeDocument/2006/relationships/theme" Target="/xl/theme/theme1.xml" Id="R1c4479cefe4e49f3" /><Relationship Type="http://schemas.openxmlformats.org/officeDocument/2006/relationships/sharedStrings" Target="/xl/sharedStrings.xml" Id="R0fd07cf38f7848d3" /><Relationship Type="http://schemas.openxmlformats.org/officeDocument/2006/relationships/worksheet" Target="/xl/worksheets/sheet1.xml" Id="Ra53681a3d46f4587" /><Relationship Type="http://schemas.openxmlformats.org/officeDocument/2006/relationships/worksheet" Target="/xl/worksheets/sheet2.xml" Id="Rff1e45fea7a44335" /><Relationship Type="http://schemas.openxmlformats.org/officeDocument/2006/relationships/worksheet" Target="/xl/worksheets/sheet3.xml" Id="R6ba9f8a11112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b068248f9414c4a" /><Relationship Type="http://schemas.openxmlformats.org/officeDocument/2006/relationships/vmlDrawing" Target="/xl/drawings/vmldrawing.vml" Id="R639510564f384c14" /></Relationships>
</file>

<file path=xl/worksheets/sheet1.xml><?xml version="1.0" encoding="utf-8"?>
<x:worksheet xmlns:x="http://schemas.openxmlformats.org/spreadsheetml/2006/main">
  <x:sheetPr>
    <x:tabColor rgb="FF263E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 ht="24" customHeight="1">
      <x:c r="B2" s="2" t="str">
        <x:v>贵州茅台库存与滞后复算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B3" s="1" t="str">
        <x:v>FY2016—FY2025　数量：吨　原数已核；公式结果为AgentCalculated。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B5" s="6" t="str">
        <x:v>年度</x:v>
      </x:c>
      <x:c r="C5" s="6" t="str">
        <x:v>成品库存</x:v>
      </x:c>
      <x:c r="D5" s="6" t="str">
        <x:v>半成品库存</x:v>
      </x:c>
      <x:c r="E5" s="6" t="str">
        <x:v>分项合计</x:v>
      </x:c>
      <x:c r="F5" s="6" t="str">
        <x:v>半成品占比</x:v>
      </x:c>
      <x:c r="G5" s="6" t="str">
        <x:v>独立总库存</x:v>
      </x:c>
      <x:c r="H5" s="6" t="str">
        <x:v>独立差额</x:v>
      </x:c>
      <x:c r="I5" s="1"/>
      <x:c r="J5" s="1"/>
      <x:c r="K5" s="1"/>
      <x:c r="L5" s="1"/>
      <x:c r="M5" s="1"/>
      <x:c r="N5" s="1"/>
    </x:row>
    <x:row r="6" ht="24" customHeight="1">
      <x:c r="B6" s="1" t="n">
        <x:f>'原数'!B6</x:f>
        <x:v>2016</x:v>
      </x:c>
      <x:c r="C6" s="7" t="n">
        <x:f>'原数'!G6</x:f>
        <x:v>16168.33</x:v>
      </x:c>
      <x:c r="D6" s="7" t="n">
        <x:f>'原数'!H6</x:f>
        <x:v>236337.83</x:v>
      </x:c>
      <x:c r="E6" s="7" t="n">
        <x:f>SUM(C6:D6)</x:f>
        <x:v>252506.15999999997</x:v>
      </x:c>
      <x:c r="F6" s="10" t="n">
        <x:f>D6/E6</x:f>
        <x:v>0.9359685720142432</x:v>
      </x:c>
      <x:c r="G6" s="11" t="n">
        <x:f>IF(ISNUMBER('原数'!I6),'原数'!I6,"待核")</x:f>
        <x:v>252506.16</x:v>
      </x:c>
      <x:c r="H6" s="11" t="n">
        <x:f>IF(ISNUMBER(G6),ROUND(G6-E6,2),"待核")</x:f>
        <x:v>0</x:v>
      </x:c>
      <x:c r="I6" s="1"/>
      <x:c r="J6" s="1"/>
      <x:c r="K6" s="1"/>
      <x:c r="L6" s="1"/>
      <x:c r="M6" s="1"/>
      <x:c r="N6" s="1"/>
    </x:row>
    <x:row r="7" ht="24" customHeight="1">
      <x:c r="B7" s="1" t="n">
        <x:f>'原数'!B7</x:f>
        <x:v>2017</x:v>
      </x:c>
      <x:c r="C7" s="7" t="n">
        <x:f>'原数'!G7</x:f>
        <x:v>13309.48</x:v>
      </x:c>
      <x:c r="D7" s="7" t="n">
        <x:f>'原数'!H7</x:f>
        <x:v>222689.39</x:v>
      </x:c>
      <x:c r="E7" s="7" t="n">
        <x:f>SUM(C7:D7)</x:f>
        <x:v>235998.87000000002</x:v>
      </x:c>
      <x:c r="F7" s="10" t="n">
        <x:f>D7/E7</x:f>
        <x:v>0.9436036282716099</x:v>
      </x:c>
      <x:c r="G7" s="11" t="n">
        <x:f>IF(ISNUMBER('原数'!I7),'原数'!I7,"待核")</x:f>
        <x:v>235998.87</x:v>
      </x:c>
      <x:c r="H7" s="11" t="n">
        <x:f>IF(ISNUMBER(G7),ROUND(G7-E7,2),"待核")</x:f>
        <x:v>0</x:v>
      </x:c>
      <x:c r="I7" s="1"/>
      <x:c r="J7" s="1"/>
      <x:c r="K7" s="1"/>
      <x:c r="L7" s="1"/>
      <x:c r="M7" s="1"/>
      <x:c r="N7" s="1"/>
    </x:row>
    <x:row r="8" ht="24" customHeight="1">
      <x:c r="B8" s="1" t="n">
        <x:f>'原数'!B8</x:f>
        <x:v>2018</x:v>
      </x:c>
      <x:c r="C8" s="7" t="n">
        <x:f>'原数'!G8</x:f>
        <x:v>14409.19</x:v>
      </x:c>
      <x:c r="D8" s="7" t="n">
        <x:f>'原数'!H8</x:f>
        <x:v>222118.11</x:v>
      </x:c>
      <x:c r="E8" s="7" t="n">
        <x:f>SUM(C8:D8)</x:f>
        <x:v>236527.3</x:v>
      </x:c>
      <x:c r="F8" s="10" t="n">
        <x:f>D8/E8</x:f>
        <x:v>0.9390802245660438</x:v>
      </x:c>
      <x:c r="G8" s="11" t="n">
        <x:f>IF(ISNUMBER('原数'!I8),'原数'!I8,"待核")</x:f>
        <x:v>236527.3</x:v>
      </x:c>
      <x:c r="H8" s="11" t="n">
        <x:f>IF(ISNUMBER(G8),ROUND(G8-E8,2),"待核")</x:f>
        <x:v>0</x:v>
      </x:c>
      <x:c r="I8" s="1"/>
      <x:c r="J8" s="1"/>
      <x:c r="K8" s="1"/>
      <x:c r="L8" s="1"/>
      <x:c r="M8" s="1"/>
      <x:c r="N8" s="1"/>
    </x:row>
    <x:row r="9" ht="24" customHeight="1">
      <x:c r="B9" s="1" t="n">
        <x:f>'原数'!B9</x:f>
        <x:v>2019</x:v>
      </x:c>
      <x:c r="C9" s="7" t="n">
        <x:f>'原数'!G9</x:f>
        <x:v>11311.61</x:v>
      </x:c>
      <x:c r="D9" s="7" t="n">
        <x:f>'原数'!H9</x:f>
        <x:v>230356.74</x:v>
      </x:c>
      <x:c r="E9" s="7" t="n">
        <x:f>SUM(C9:D9)</x:f>
        <x:v>241668.34999999998</x:v>
      </x:c>
      <x:c r="F9" s="10" t="n">
        <x:f>D9/E9</x:f>
        <x:v>0.9531936639613752</x:v>
      </x:c>
      <x:c r="G9" s="11" t="n">
        <x:f>IF(ISNUMBER('原数'!I9),'原数'!I9,"待核")</x:f>
        <x:v>241668.35</x:v>
      </x:c>
      <x:c r="H9" s="11" t="n">
        <x:f>IF(ISNUMBER(G9),ROUND(G9-E9,2),"待核")</x:f>
        <x:v>0</x:v>
      </x:c>
      <x:c r="I9" s="1"/>
      <x:c r="J9" s="1"/>
      <x:c r="K9" s="1"/>
      <x:c r="L9" s="1"/>
      <x:c r="M9" s="1"/>
      <x:c r="N9" s="1"/>
    </x:row>
    <x:row r="10" ht="24" customHeight="1">
      <x:c r="B10" s="1" t="n">
        <x:f>'原数'!B10</x:f>
        <x:v>2020</x:v>
      </x:c>
      <x:c r="C10" s="7" t="n">
        <x:f>'原数'!G10</x:f>
        <x:v>8314.11</x:v>
      </x:c>
      <x:c r="D10" s="7" t="n">
        <x:f>'原数'!H10</x:f>
        <x:v>240921.41</x:v>
      </x:c>
      <x:c r="E10" s="7" t="n">
        <x:f>SUM(C10:D10)</x:f>
        <x:v>249235.52000000002</x:v>
      </x:c>
      <x:c r="F10" s="10" t="n">
        <x:f>D10/E10</x:f>
        <x:v>0.9666415525363319</x:v>
      </x:c>
      <x:c r="G10" s="11" t="n">
        <x:f>IF(ISNUMBER('原数'!I10),'原数'!I10,"待核")</x:f>
        <x:v>249235.52</x:v>
      </x:c>
      <x:c r="H10" s="11" t="n">
        <x:f>IF(ISNUMBER(G10),ROUND(G10-E10,2),"待核")</x:f>
        <x:v>0</x:v>
      </x:c>
      <x:c r="I10" s="1"/>
      <x:c r="J10" s="1"/>
      <x:c r="K10" s="1"/>
      <x:c r="L10" s="1"/>
      <x:c r="M10" s="1"/>
      <x:c r="N10" s="1"/>
    </x:row>
    <x:row r="11" ht="24" customHeight="1">
      <x:c r="B11" s="1" t="n">
        <x:f>'原数'!B11</x:f>
        <x:v>2021</x:v>
      </x:c>
      <x:c r="C11" s="7" t="n">
        <x:f>'原数'!G11</x:f>
        <x:v>10282.35</x:v>
      </x:c>
      <x:c r="D11" s="7" t="n">
        <x:f>'原数'!H11</x:f>
        <x:v>250463.82</x:v>
      </x:c>
      <x:c r="E11" s="7" t="n">
        <x:f>SUM(C11:D11)</x:f>
        <x:v>260746.17</x:v>
      </x:c>
      <x:c r="F11" s="10" t="n">
        <x:f>D11/E11</x:f>
        <x:v>0.9605656719713275</x:v>
      </x:c>
      <x:c r="G11" s="11" t="n">
        <x:f>IF(ISNUMBER('原数'!I11),'原数'!I11,"待核")</x:f>
        <x:v>260746.17</x:v>
      </x:c>
      <x:c r="H11" s="11" t="n">
        <x:f>IF(ISNUMBER(G11),ROUND(G11-E11,2),"待核")</x:f>
        <x:v>0</x:v>
      </x:c>
      <x:c r="I11" s="1"/>
      <x:c r="J11" s="1"/>
      <x:c r="K11" s="1"/>
      <x:c r="L11" s="1"/>
      <x:c r="M11" s="1"/>
      <x:c r="N11" s="1"/>
    </x:row>
    <x:row r="12" ht="24" customHeight="1">
      <x:c r="B12" s="1" t="n">
        <x:f>'原数'!B12</x:f>
        <x:v>2022</x:v>
      </x:c>
      <x:c r="C12" s="7" t="n">
        <x:f>'原数'!G12</x:f>
        <x:v>12495.28</x:v>
      </x:c>
      <x:c r="D12" s="7" t="n">
        <x:f>'原数'!H12</x:f>
        <x:v>264127.89</x:v>
      </x:c>
      <x:c r="E12" s="7" t="n">
        <x:f>SUM(C12:D12)</x:f>
        <x:v>276623.17000000004</x:v>
      </x:c>
      <x:c r="F12" s="10" t="n">
        <x:f>D12/E12</x:f>
        <x:v>0.9548292357433399</x:v>
      </x:c>
      <x:c r="G12" s="11" t="n">
        <x:f>IF(ISNUMBER('原数'!I12),'原数'!I12,"待核")</x:f>
        <x:v>276623.17</x:v>
      </x:c>
      <x:c r="H12" s="11" t="n">
        <x:f>IF(ISNUMBER(G12),ROUND(G12-E12,2),"待核")</x:f>
        <x:v>0</x:v>
      </x:c>
      <x:c r="I12" s="1"/>
      <x:c r="J12" s="1"/>
      <x:c r="K12" s="1"/>
      <x:c r="L12" s="1"/>
      <x:c r="M12" s="1"/>
      <x:c r="N12" s="1"/>
    </x:row>
    <x:row r="13" ht="24" customHeight="1">
      <x:c r="B13" s="1" t="n">
        <x:f>'原数'!B13</x:f>
        <x:v>2023</x:v>
      </x:c>
      <x:c r="C13" s="7" t="n">
        <x:f>'原数'!G13</x:f>
        <x:v>13985.07</x:v>
      </x:c>
      <x:c r="D13" s="7" t="n">
        <x:f>'原数'!H13</x:f>
        <x:v>279804.96</x:v>
      </x:c>
      <x:c r="E13" s="7" t="n">
        <x:f>SUM(C13:D13)</x:f>
        <x:v>293790.03</x:v>
      </x:c>
      <x:c r="F13" s="10" t="n">
        <x:f>D13/E13</x:f>
        <x:v>0.9523977379354909</x:v>
      </x:c>
      <x:c r="G13" s="11" t="n">
        <x:f>IF(ISNUMBER('原数'!I13),'原数'!I13,"待核")</x:f>
        <x:v>293790.03</x:v>
      </x:c>
      <x:c r="H13" s="11" t="n">
        <x:f>IF(ISNUMBER(G13),ROUND(G13-E13,2),"待核")</x:f>
        <x:v>0</x:v>
      </x:c>
      <x:c r="I13" s="1"/>
      <x:c r="J13" s="1"/>
      <x:c r="K13" s="1"/>
      <x:c r="L13" s="1"/>
      <x:c r="M13" s="1"/>
      <x:c r="N13" s="1"/>
    </x:row>
    <x:row r="14" ht="24" customHeight="1">
      <x:c r="B14" s="1" t="n">
        <x:f>'原数'!B14</x:f>
        <x:v>2024</x:v>
      </x:c>
      <x:c r="C14" s="7" t="n">
        <x:f>'原数'!G14</x:f>
        <x:v>17760</x:v>
      </x:c>
      <x:c r="D14" s="7" t="n">
        <x:f>'原数'!H14</x:f>
        <x:v>292248.02</x:v>
      </x:c>
      <x:c r="E14" s="7" t="n">
        <x:f>SUM(C14:D14)</x:f>
        <x:v>310008.02</x:v>
      </x:c>
      <x:c r="F14" s="10" t="n">
        <x:f>D14/E14</x:f>
        <x:v>0.9427111595370984</x:v>
      </x:c>
      <x:c r="G14" s="11" t="n">
        <x:f>IF(ISNUMBER('原数'!I14),'原数'!I14,"待核")</x:f>
        <x:v>310008.02</x:v>
      </x:c>
      <x:c r="H14" s="11" t="n">
        <x:f>IF(ISNUMBER(G14),ROUND(G14-E14,2),"待核")</x:f>
        <x:v>0</x:v>
      </x:c>
      <x:c r="I14" s="1"/>
      <x:c r="J14" s="1"/>
      <x:c r="K14" s="1"/>
      <x:c r="L14" s="1"/>
      <x:c r="M14" s="1"/>
      <x:c r="N14" s="1"/>
    </x:row>
    <x:row r="15" ht="24" customHeight="1">
      <x:c r="B15" s="1" t="n">
        <x:f>'原数'!B15</x:f>
        <x:v>2025</x:v>
      </x:c>
      <x:c r="C15" s="7" t="n">
        <x:f>'原数'!G15</x:f>
        <x:v>24770.35</x:v>
      </x:c>
      <x:c r="D15" s="7" t="n">
        <x:f>'原数'!H15</x:f>
        <x:v>315207.51</x:v>
      </x:c>
      <x:c r="E15" s="7" t="n">
        <x:f>SUM(C15:D15)</x:f>
        <x:v>339977.86</x:v>
      </x:c>
      <x:c r="F15" s="10" t="n">
        <x:f>D15/E15</x:f>
        <x:v>0.9271412850236778</x:v>
      </x:c>
      <x:c r="G15" s="11" t="n">
        <x:f>IF(ISNUMBER('原数'!I15),'原数'!I15,"待核")</x:f>
        <x:v>339977.86</x:v>
      </x:c>
      <x:c r="H15" s="11" t="n">
        <x:f>IF(ISNUMBER(G15),ROUND(G15-E15,2),"待核")</x:f>
        <x:v>0</x:v>
      </x:c>
      <x:c r="I15" s="1"/>
      <x:c r="J15" s="1"/>
      <x:c r="K15" s="1"/>
      <x:c r="L15" s="1"/>
      <x:c r="M15" s="1"/>
      <x:c r="N15" s="1"/>
    </x:row>
    <x:row r="16" ht="24" customHeight="1"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B17" s="1" t="str">
        <x:v>“分项合计”由两项相加；“独立差额”必须使用另获有效确认的报告总量。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4" customHeight="1">
      <x:c r="B20" s="9" t="str">
        <x:v>五年后并列观察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30" customHeight="1">
      <x:c r="B21" s="6" t="str">
        <x:v>生产年</x:v>
      </x:c>
      <x:c r="C21" s="6" t="str">
        <x:v>茅台基酒产量</x:v>
      </x:c>
      <x:c r="D21" s="6" t="str">
        <x:v>五年后</x:v>
      </x:c>
      <x:c r="E21" s="6" t="str">
        <x:v>茅台酒销量</x:v>
      </x:c>
      <x:c r="F21" s="6" t="str">
        <x:v>茅台酒收入（元）</x:v>
      </x:c>
      <x:c r="G21" s="1"/>
      <x:c r="H21" s="1"/>
      <x:c r="I21" s="1"/>
      <x:c r="J21" s="1"/>
      <x:c r="K21" s="1"/>
      <x:c r="L21" s="1"/>
      <x:c r="M21" s="1"/>
      <x:c r="N21" s="1"/>
    </x:row>
    <x:row r="22" ht="24" customHeight="1">
      <x:c r="B22" s="1" t="n">
        <x:f>'原数'!B6</x:f>
        <x:v>2016</x:v>
      </x:c>
      <x:c r="C22" s="7" t="n">
        <x:f>'原数'!C6</x:f>
        <x:v>39312.53</x:v>
      </x:c>
      <x:c r="D22" s="1" t="n">
        <x:f>B22+5</x:f>
        <x:v>2021</x:v>
      </x:c>
      <x:c r="E22" s="7" t="n">
        <x:f>'原数'!D11</x:f>
        <x:v>36261.31</x:v>
      </x:c>
      <x:c r="F22" s="7" t="n">
        <x:f>'原数'!J11</x:f>
        <x:v>93464512115.94</x:v>
      </x:c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B23" s="1" t="n">
        <x:f>'原数'!B7</x:f>
        <x:v>2017</x:v>
      </x:c>
      <x:c r="C23" s="7" t="n">
        <x:f>'原数'!C7</x:f>
        <x:v>42828.59</x:v>
      </x:c>
      <x:c r="D23" s="1" t="n">
        <x:f>B23+5</x:f>
        <x:v>2022</x:v>
      </x:c>
      <x:c r="E23" s="7" t="n">
        <x:f>'原数'!D12</x:f>
        <x:v>37901.39</x:v>
      </x:c>
      <x:c r="F23" s="7" t="n">
        <x:f>'原数'!J12</x:f>
        <x:v>107833685277.94</x:v>
      </x:c>
      <x:c r="G23" s="1"/>
      <x:c r="H23" s="1"/>
      <x:c r="I23" s="1"/>
      <x:c r="J23" s="1"/>
      <x:c r="K23" s="1"/>
      <x:c r="L23" s="1"/>
      <x:c r="M23" s="1"/>
      <x:c r="N23" s="1"/>
    </x:row>
    <x:row r="24" ht="24" customHeight="1">
      <x:c r="B24" s="1" t="n">
        <x:f>'原数'!B8</x:f>
        <x:v>2018</x:v>
      </x:c>
      <x:c r="C24" s="7" t="n">
        <x:f>'原数'!C8</x:f>
        <x:v>49671.69</x:v>
      </x:c>
      <x:c r="D24" s="1" t="n">
        <x:f>B24+5</x:f>
        <x:v>2023</x:v>
      </x:c>
      <x:c r="E24" s="7" t="n">
        <x:f>'原数'!D13</x:f>
        <x:v>42109.5</x:v>
      </x:c>
      <x:c r="F24" s="7" t="n">
        <x:f>'原数'!J13</x:f>
        <x:v>126589066691.89</x:v>
      </x:c>
      <x:c r="G24" s="1"/>
      <x:c r="H24" s="1"/>
      <x:c r="I24" s="1"/>
      <x:c r="J24" s="1"/>
      <x:c r="K24" s="1"/>
      <x:c r="L24" s="1"/>
      <x:c r="M24" s="1"/>
      <x:c r="N24" s="1"/>
    </x:row>
    <x:row r="25" ht="24" customHeight="1">
      <x:c r="B25" s="1" t="n">
        <x:f>'原数'!B9</x:f>
        <x:v>2019</x:v>
      </x:c>
      <x:c r="C25" s="7" t="n">
        <x:f>'原数'!C9</x:f>
        <x:v>49922.71</x:v>
      </x:c>
      <x:c r="D25" s="1" t="n">
        <x:f>B25+5</x:f>
        <x:v>2024</x:v>
      </x:c>
      <x:c r="E25" s="7" t="n">
        <x:f>'原数'!D14</x:f>
        <x:v>46412.95</x:v>
      </x:c>
      <x:c r="F25" s="7" t="n">
        <x:f>'原数'!J14</x:f>
        <x:v>145928075955.31</x:v>
      </x:c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B26" s="1" t="n">
        <x:f>'原数'!B10</x:f>
        <x:v>2020</x:v>
      </x:c>
      <x:c r="C26" s="7" t="n">
        <x:f>'原数'!C10</x:f>
        <x:v>50235.17</x:v>
      </x:c>
      <x:c r="D26" s="1" t="n">
        <x:f>B26+5</x:f>
        <x:v>2025</x:v>
      </x:c>
      <x:c r="E26" s="7" t="n">
        <x:f>'原数'!D15</x:f>
        <x:v>46750.66</x:v>
      </x:c>
      <x:c r="F26" s="7" t="n">
        <x:f>'原数'!J15</x:f>
        <x:v>146499906480.49</x:v>
      </x:c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B28" s="1" t="str">
        <x:v>两端不是同一批次，不计算转化率；FY2021—FY2025生产年的t+5超出FY2025冻结点。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B30" s="9" t="str">
        <x:v>生产与后续销量相关诊断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30" customHeight="1">
      <x:c r="B31" s="6" t="str">
        <x:v>产品</x:v>
      </x:c>
      <x:c r="C31" s="6" t="str">
        <x:v>k（年）</x:v>
      </x:c>
      <x:c r="D31" s="6" t="str">
        <x:v>n（有效年对）</x:v>
      </x:c>
      <x:c r="E31" s="6" t="str">
        <x:v>相关系数r</x:v>
      </x:c>
      <x:c r="F31" s="6" t="str">
        <x:v>生产年份</x:v>
      </x:c>
      <x:c r="G31" s="6" t="str">
        <x:v>销售年份</x:v>
      </x:c>
      <x:c r="H31" s="1"/>
      <x:c r="I31" s="1"/>
      <x:c r="J31" s="1"/>
      <x:c r="K31" s="1"/>
      <x:c r="L31" s="1"/>
      <x:c r="M31" s="1"/>
      <x:c r="N31" s="1"/>
    </x:row>
    <x:row r="32" ht="24" customHeight="1">
      <x:c r="B32" s="1" t="str">
        <x:v>茅台酒</x:v>
      </x:c>
      <x:c r="C32" s="1" t="n">
        <x:v>0</x:v>
      </x:c>
      <x:c r="D32" s="1" t="n">
        <x:f>SUM('配对'!H6:H15)</x:f>
        <x:v>10</x:v>
      </x:c>
      <x:c r="E32" s="12" t="n">
        <x:f>IF(D32&lt;3,"样本不足",CORREL('配对'!F6:F15,'配对'!G6:G15))</x:f>
        <x:v>0.9003682095132446</x:v>
      </x:c>
      <x:c r="F32" s="13" t="str">
        <x:f>'原数'!B6&amp;"-"&amp;'原数'!B15</x:f>
        <x:v>2016-2025</x:v>
      </x:c>
      <x:c r="G32" s="13" t="str">
        <x:f>'原数'!B6&amp;"-"&amp;'原数'!B15</x:f>
        <x:v>2016-2025</x:v>
      </x:c>
      <x:c r="H32" s="1"/>
      <x:c r="I32" s="1"/>
      <x:c r="J32" s="1"/>
      <x:c r="K32" s="1"/>
      <x:c r="L32" s="1"/>
      <x:c r="M32" s="1"/>
      <x:c r="N32" s="1"/>
    </x:row>
    <x:row r="33" ht="24" customHeight="1">
      <x:c r="B33" s="1" t="str">
        <x:v>茅台酒</x:v>
      </x:c>
      <x:c r="C33" s="1" t="n">
        <x:v>1</x:v>
      </x:c>
      <x:c r="D33" s="1" t="n">
        <x:f>SUM('配对'!H16:H24)</x:f>
        <x:v>9</x:v>
      </x:c>
      <x:c r="E33" s="12" t="n">
        <x:f>IF(D33&lt;3,"样本不足",CORREL('配对'!F16:F24,'配对'!G16:G24))</x:f>
        <x:v>0.865984174790168</x:v>
      </x:c>
      <x:c r="F33" s="13" t="str">
        <x:f>'原数'!B6&amp;"-"&amp;'原数'!B14</x:f>
        <x:v>2016-2024</x:v>
      </x:c>
      <x:c r="G33" s="13" t="str">
        <x:f>'原数'!B7&amp;"-"&amp;'原数'!B15</x:f>
        <x:v>2017-2025</x:v>
      </x:c>
      <x:c r="H33" s="1"/>
      <x:c r="I33" s="1"/>
      <x:c r="J33" s="1"/>
      <x:c r="K33" s="1"/>
      <x:c r="L33" s="1"/>
      <x:c r="M33" s="1"/>
      <x:c r="N33" s="1"/>
    </x:row>
    <x:row r="34" ht="24" customHeight="1">
      <x:c r="B34" s="1" t="str">
        <x:v>茅台酒</x:v>
      </x:c>
      <x:c r="C34" s="1" t="n">
        <x:v>2</x:v>
      </x:c>
      <x:c r="D34" s="1" t="n">
        <x:f>SUM('配对'!H25:H32)</x:f>
        <x:v>8</x:v>
      </x:c>
      <x:c r="E34" s="12" t="n">
        <x:f>IF(D34&lt;3,"样本不足",CORREL('配对'!F25:F32,'配对'!G25:G32))</x:f>
        <x:v>0.892422046936652</x:v>
      </x:c>
      <x:c r="F34" s="13" t="str">
        <x:f>'原数'!B6&amp;"-"&amp;'原数'!B13</x:f>
        <x:v>2016-2023</x:v>
      </x:c>
      <x:c r="G34" s="13" t="str">
        <x:f>'原数'!B8&amp;"-"&amp;'原数'!B15</x:f>
        <x:v>2018-2025</x:v>
      </x:c>
      <x:c r="H34" s="1"/>
      <x:c r="I34" s="1"/>
      <x:c r="J34" s="1"/>
      <x:c r="K34" s="1"/>
      <x:c r="L34" s="1"/>
      <x:c r="M34" s="1"/>
      <x:c r="N34" s="1"/>
    </x:row>
    <x:row r="35" ht="24" customHeight="1">
      <x:c r="B35" s="1" t="str">
        <x:v>茅台酒</x:v>
      </x:c>
      <x:c r="C35" s="1" t="n">
        <x:v>3</x:v>
      </x:c>
      <x:c r="D35" s="1" t="n">
        <x:f>SUM('配对'!H33:H39)</x:f>
        <x:v>7</x:v>
      </x:c>
      <x:c r="E35" s="12" t="n">
        <x:f>IF(D35&lt;3,"样本不足",CORREL('配对'!F33:F39,'配对'!G33:G39))</x:f>
        <x:v>0.9033462877166282</x:v>
      </x:c>
      <x:c r="F35" s="13" t="str">
        <x:f>'原数'!B6&amp;"-"&amp;'原数'!B12</x:f>
        <x:v>2016-2022</x:v>
      </x:c>
      <x:c r="G35" s="13" t="str">
        <x:f>'原数'!B9&amp;"-"&amp;'原数'!B15</x:f>
        <x:v>2019-2025</x:v>
      </x:c>
      <x:c r="H35" s="1"/>
      <x:c r="I35" s="1"/>
      <x:c r="J35" s="1"/>
      <x:c r="K35" s="1"/>
      <x:c r="L35" s="1"/>
      <x:c r="M35" s="1"/>
      <x:c r="N35" s="1"/>
    </x:row>
    <x:row r="36" ht="24" customHeight="1">
      <x:c r="B36" s="1" t="str">
        <x:v>茅台酒</x:v>
      </x:c>
      <x:c r="C36" s="1" t="n">
        <x:v>4</x:v>
      </x:c>
      <x:c r="D36" s="1" t="n">
        <x:f>SUM('配对'!H40:H45)</x:f>
        <x:v>6</x:v>
      </x:c>
      <x:c r="E36" s="12" t="n">
        <x:f>IF(D36&lt;3,"样本不足",CORREL('配对'!F40:F45,'配对'!G40:G45))</x:f>
        <x:v>0.8736815481736984</x:v>
      </x:c>
      <x:c r="F36" s="13" t="str">
        <x:f>'原数'!B6&amp;"-"&amp;'原数'!B11</x:f>
        <x:v>2016-2021</x:v>
      </x:c>
      <x:c r="G36" s="13" t="str">
        <x:f>'原数'!B10&amp;"-"&amp;'原数'!B15</x:f>
        <x:v>2020-2025</x:v>
      </x:c>
      <x:c r="H36" s="1"/>
      <x:c r="I36" s="1"/>
      <x:c r="J36" s="1"/>
      <x:c r="K36" s="1"/>
      <x:c r="L36" s="1"/>
      <x:c r="M36" s="1"/>
      <x:c r="N36" s="1"/>
    </x:row>
    <x:row r="37" ht="24" customHeight="1">
      <x:c r="B37" s="1" t="str">
        <x:v>茅台酒</x:v>
      </x:c>
      <x:c r="C37" s="1" t="n">
        <x:v>5</x:v>
      </x:c>
      <x:c r="D37" s="1" t="n">
        <x:f>SUM('配对'!H46:H50)</x:f>
        <x:v>5</x:v>
      </x:c>
      <x:c r="E37" s="12" t="n">
        <x:f>IF(D37&lt;3,"样本不足",CORREL('配对'!F46:F50,'配对'!G46:G50))</x:f>
        <x:v>0.930034835166873</x:v>
      </x:c>
      <x:c r="F37" s="13" t="str">
        <x:f>'原数'!B6&amp;"-"&amp;'原数'!B10</x:f>
        <x:v>2016-2020</x:v>
      </x:c>
      <x:c r="G37" s="13" t="str">
        <x:f>'原数'!B11&amp;"-"&amp;'原数'!B15</x:f>
        <x:v>2021-2025</x:v>
      </x:c>
      <x:c r="H37" s="1"/>
      <x:c r="I37" s="1"/>
      <x:c r="J37" s="1"/>
      <x:c r="K37" s="1"/>
      <x:c r="L37" s="1"/>
      <x:c r="M37" s="1"/>
      <x:c r="N37" s="1"/>
    </x:row>
    <x:row r="38" ht="24" customHeight="1">
      <x:c r="B38" s="1" t="str">
        <x:v>茅台酒</x:v>
      </x:c>
      <x:c r="C38" s="1" t="n">
        <x:v>6</x:v>
      </x:c>
      <x:c r="D38" s="1" t="n">
        <x:f>SUM('配对'!H51:H54)</x:f>
        <x:v>4</x:v>
      </x:c>
      <x:c r="E38" s="12" t="n">
        <x:f>IF(D38&lt;3,"样本不足",CORREL('配对'!F51:F54,'配对'!G51:G54))</x:f>
        <x:v>0.9890795258327033</x:v>
      </x:c>
      <x:c r="F38" s="13" t="str">
        <x:f>'原数'!B6&amp;"-"&amp;'原数'!B9</x:f>
        <x:v>2016-2019</x:v>
      </x:c>
      <x:c r="G38" s="13" t="str">
        <x:f>'原数'!B12&amp;"-"&amp;'原数'!B15</x:f>
        <x:v>2022-2025</x:v>
      </x:c>
      <x:c r="H38" s="1"/>
      <x:c r="I38" s="1"/>
      <x:c r="J38" s="1"/>
      <x:c r="K38" s="1"/>
      <x:c r="L38" s="1"/>
      <x:c r="M38" s="1"/>
      <x:c r="N38" s="1"/>
    </x:row>
    <x:row r="39" ht="24" customHeight="1">
      <x:c r="B39" s="1" t="str">
        <x:v>茅台酒</x:v>
      </x:c>
      <x:c r="C39" s="1" t="n">
        <x:v>7</x:v>
      </x:c>
      <x:c r="D39" s="1" t="n">
        <x:f>SUM('配对'!H55:H57)</x:f>
        <x:v>3</x:v>
      </x:c>
      <x:c r="E39" s="12" t="n">
        <x:f>IF(D39&lt;3,"样本不足",CORREL('配对'!F55:F57,'配对'!G55:G57))</x:f>
        <x:v>0.8011143669697901</x:v>
      </x:c>
      <x:c r="F39" s="13" t="str">
        <x:f>'原数'!B6&amp;"-"&amp;'原数'!B8</x:f>
        <x:v>2016-2018</x:v>
      </x:c>
      <x:c r="G39" s="13" t="str">
        <x:f>'原数'!B13&amp;"-"&amp;'原数'!B15</x:f>
        <x:v>2023-2025</x:v>
      </x:c>
      <x:c r="H39" s="1"/>
      <x:c r="I39" s="1"/>
      <x:c r="J39" s="1"/>
      <x:c r="K39" s="1"/>
      <x:c r="L39" s="1"/>
      <x:c r="M39" s="1"/>
      <x:c r="N39" s="1"/>
    </x:row>
    <x:row r="40" ht="24" customHeight="1">
      <x:c r="B40" s="1" t="str">
        <x:v>其他系列酒</x:v>
      </x:c>
      <x:c r="C40" s="1" t="n">
        <x:v>0</x:v>
      </x:c>
      <x:c r="D40" s="1" t="n">
        <x:f>SUM('配对'!H58:H67)</x:f>
        <x:v>10</x:v>
      </x:c>
      <x:c r="E40" s="12" t="n">
        <x:f>IF(D40&lt;3,"样本不足",CORREL('配对'!F58:F67,'配对'!G58:G67))</x:f>
        <x:v>0.6926003832453306</x:v>
      </x:c>
      <x:c r="F40" s="13" t="str">
        <x:f>'原数'!B6&amp;"-"&amp;'原数'!B15</x:f>
        <x:v>2016-2025</x:v>
      </x:c>
      <x:c r="G40" s="13" t="str">
        <x:f>'原数'!B6&amp;"-"&amp;'原数'!B15</x:f>
        <x:v>2016-2025</x:v>
      </x:c>
      <x:c r="H40" s="1"/>
      <x:c r="I40" s="1"/>
      <x:c r="J40" s="1"/>
      <x:c r="K40" s="1"/>
      <x:c r="L40" s="1"/>
      <x:c r="M40" s="1"/>
      <x:c r="N40" s="1"/>
    </x:row>
    <x:row r="41" ht="24" customHeight="1">
      <x:c r="B41" s="1" t="str">
        <x:v>其他系列酒</x:v>
      </x:c>
      <x:c r="C41" s="1" t="n">
        <x:v>1</x:v>
      </x:c>
      <x:c r="D41" s="1" t="n">
        <x:f>SUM('配对'!H68:H76)</x:f>
        <x:v>9</x:v>
      </x:c>
      <x:c r="E41" s="12" t="n">
        <x:f>IF(D41&lt;3,"样本不足",CORREL('配对'!F68:F76,'配对'!G68:G76))</x:f>
        <x:v>0.9353270023679631</x:v>
      </x:c>
      <x:c r="F41" s="13" t="str">
        <x:f>'原数'!B6&amp;"-"&amp;'原数'!B14</x:f>
        <x:v>2016-2024</x:v>
      </x:c>
      <x:c r="G41" s="13" t="str">
        <x:f>'原数'!B7&amp;"-"&amp;'原数'!B15</x:f>
        <x:v>2017-2025</x:v>
      </x:c>
      <x:c r="H41" s="1"/>
      <x:c r="I41" s="1"/>
      <x:c r="J41" s="1"/>
      <x:c r="K41" s="1"/>
      <x:c r="L41" s="1"/>
      <x:c r="M41" s="1"/>
      <x:c r="N41" s="1"/>
    </x:row>
    <x:row r="42" ht="24" customHeight="1">
      <x:c r="B42" s="1" t="str">
        <x:v>其他系列酒</x:v>
      </x:c>
      <x:c r="C42" s="1" t="n">
        <x:v>2</x:v>
      </x:c>
      <x:c r="D42" s="1" t="n">
        <x:f>SUM('配对'!H77:H84)</x:f>
        <x:v>8</x:v>
      </x:c>
      <x:c r="E42" s="12" t="n">
        <x:f>IF(D42&lt;3,"样本不足",CORREL('配对'!F77:F84,'配对'!G77:G84))</x:f>
        <x:v>0.9588092182520458</x:v>
      </x:c>
      <x:c r="F42" s="13" t="str">
        <x:f>'原数'!B6&amp;"-"&amp;'原数'!B13</x:f>
        <x:v>2016-2023</x:v>
      </x:c>
      <x:c r="G42" s="13" t="str">
        <x:f>'原数'!B8&amp;"-"&amp;'原数'!B15</x:f>
        <x:v>2018-2025</x:v>
      </x:c>
      <x:c r="H42" s="1"/>
      <x:c r="I42" s="1"/>
      <x:c r="J42" s="1"/>
      <x:c r="K42" s="1"/>
      <x:c r="L42" s="1"/>
      <x:c r="M42" s="1"/>
      <x:c r="N42" s="1"/>
    </x:row>
    <x:row r="43" ht="24" customHeight="1">
      <x:c r="B43" s="1" t="str">
        <x:v>其他系列酒</x:v>
      </x:c>
      <x:c r="C43" s="1" t="n">
        <x:v>3</x:v>
      </x:c>
      <x:c r="D43" s="1" t="n">
        <x:f>SUM('配对'!H85:H91)</x:f>
        <x:v>7</x:v>
      </x:c>
      <x:c r="E43" s="12" t="n">
        <x:f>IF(D43&lt;3,"样本不足",CORREL('配对'!F85:F91,'配对'!G85:G91))</x:f>
        <x:v>0.9137483376585637</x:v>
      </x:c>
      <x:c r="F43" s="13" t="str">
        <x:f>'原数'!B6&amp;"-"&amp;'原数'!B12</x:f>
        <x:v>2016-2022</x:v>
      </x:c>
      <x:c r="G43" s="13" t="str">
        <x:f>'原数'!B9&amp;"-"&amp;'原数'!B15</x:f>
        <x:v>2019-2025</x:v>
      </x:c>
      <x:c r="H43" s="1"/>
      <x:c r="I43" s="1"/>
      <x:c r="J43" s="1"/>
      <x:c r="K43" s="1"/>
      <x:c r="L43" s="1"/>
      <x:c r="M43" s="1"/>
      <x:c r="N43" s="1"/>
    </x:row>
    <x:row r="44" ht="24" customHeight="1">
      <x:c r="B44" s="1" t="str">
        <x:v>其他系列酒</x:v>
      </x:c>
      <x:c r="C44" s="1" t="n">
        <x:v>4</x:v>
      </x:c>
      <x:c r="D44" s="1" t="n">
        <x:f>SUM('配对'!H92:H97)</x:f>
        <x:v>6</x:v>
      </x:c>
      <x:c r="E44" s="12" t="n">
        <x:f>IF(D44&lt;3,"样本不足",CORREL('配对'!F92:F97,'配对'!G92:G97))</x:f>
        <x:v>0.8631602612510635</x:v>
      </x:c>
      <x:c r="F44" s="13" t="str">
        <x:f>'原数'!B6&amp;"-"&amp;'原数'!B11</x:f>
        <x:v>2016-2021</x:v>
      </x:c>
      <x:c r="G44" s="13" t="str">
        <x:f>'原数'!B10&amp;"-"&amp;'原数'!B15</x:f>
        <x:v>2020-2025</x:v>
      </x:c>
      <x:c r="H44" s="1"/>
      <x:c r="I44" s="1"/>
      <x:c r="J44" s="1"/>
      <x:c r="K44" s="1"/>
      <x:c r="L44" s="1"/>
      <x:c r="M44" s="1"/>
      <x:c r="N44" s="1"/>
    </x:row>
    <x:row r="45" ht="24" customHeight="1">
      <x:c r="B45" s="1" t="str">
        <x:v>其他系列酒</x:v>
      </x:c>
      <x:c r="C45" s="1" t="n">
        <x:v>5</x:v>
      </x:c>
      <x:c r="D45" s="1" t="n">
        <x:f>SUM('配对'!H98:H102)</x:f>
        <x:v>5</x:v>
      </x:c>
      <x:c r="E45" s="12" t="n">
        <x:f>IF(D45&lt;3,"样本不足",CORREL('配对'!F98:F102,'配对'!G98:G102))</x:f>
        <x:v>0.9771510454803662</x:v>
      </x:c>
      <x:c r="F45" s="13" t="str">
        <x:f>'原数'!B6&amp;"-"&amp;'原数'!B10</x:f>
        <x:v>2016-2020</x:v>
      </x:c>
      <x:c r="G45" s="13" t="str">
        <x:f>'原数'!B11&amp;"-"&amp;'原数'!B15</x:f>
        <x:v>2021-2025</x:v>
      </x:c>
      <x:c r="H45" s="1"/>
      <x:c r="I45" s="1"/>
      <x:c r="J45" s="1"/>
      <x:c r="K45" s="1"/>
      <x:c r="L45" s="1"/>
      <x:c r="M45" s="1"/>
      <x:c r="N45" s="1"/>
    </x:row>
    <x:row r="46" ht="24" customHeight="1">
      <x:c r="B46" s="1" t="str">
        <x:v>其他系列酒</x:v>
      </x:c>
      <x:c r="C46" s="1" t="n">
        <x:v>6</x:v>
      </x:c>
      <x:c r="D46" s="1" t="n">
        <x:f>SUM('配对'!H103:H106)</x:f>
        <x:v>4</x:v>
      </x:c>
      <x:c r="E46" s="12" t="n">
        <x:f>IF(D46&lt;3,"样本不足",CORREL('配对'!F103:F106,'配对'!G103:G106))</x:f>
        <x:v>0.6567295691728157</x:v>
      </x:c>
      <x:c r="F46" s="13" t="str">
        <x:f>'原数'!B6&amp;"-"&amp;'原数'!B9</x:f>
        <x:v>2016-2019</x:v>
      </x:c>
      <x:c r="G46" s="13" t="str">
        <x:f>'原数'!B12&amp;"-"&amp;'原数'!B15</x:f>
        <x:v>2022-2025</x:v>
      </x:c>
      <x:c r="H46" s="1"/>
      <x:c r="I46" s="1"/>
      <x:c r="J46" s="1"/>
      <x:c r="K46" s="1"/>
      <x:c r="L46" s="1"/>
      <x:c r="M46" s="1"/>
      <x:c r="N46" s="1"/>
    </x:row>
    <x:row r="47" ht="24" customHeight="1">
      <x:c r="B47" s="1" t="str">
        <x:v>其他系列酒</x:v>
      </x:c>
      <x:c r="C47" s="1" t="n">
        <x:v>7</x:v>
      </x:c>
      <x:c r="D47" s="1" t="n">
        <x:f>SUM('配对'!H107:H109)</x:f>
        <x:v>3</x:v>
      </x:c>
      <x:c r="E47" s="12" t="n">
        <x:f>IF(D47&lt;3,"样本不足",CORREL('配对'!F107:F109,'配对'!G107:G109))</x:f>
        <x:v>0.26497847364573934</x:v>
      </x:c>
      <x:c r="F47" s="13" t="str">
        <x:f>'原数'!B6&amp;"-"&amp;'原数'!B8</x:f>
        <x:v>2016-2018</x:v>
      </x:c>
      <x:c r="G47" s="13" t="str">
        <x:f>'原数'!B13&amp;"-"&amp;'原数'!B15</x:f>
        <x:v>2023-2025</x:v>
      </x:c>
      <x:c r="H47" s="1"/>
      <x:c r="I47" s="1"/>
      <x:c r="J47" s="1"/>
      <x:c r="K47" s="1"/>
      <x:c r="L47" s="1"/>
      <x:c r="M47" s="1"/>
      <x:c r="N47" s="1"/>
    </x:row>
    <x:row r="48" ht="24" customHeight="1"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B49" s="1" t="str">
        <x:v>相关系数用于描述共变；样本随k缩小，不能用最高r识别真实成熟期或因果。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</x:sheetData>
  <x:conditionalFormatting sqref="G6:H15">
    <x:cfRule type="containsText" dxfId="0" priority="1" operator="containsText" text="待核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 ht="24" customHeight="1">
      <x:c r="B2" s="2" t="str">
        <x:v>真实年份配对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B3" s="1" t="str">
        <x:v>每行一个t与t+k年对，有效表示产量和销量均为数值；缺失不填零。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B5" s="6" t="str">
        <x:v>产品</x:v>
      </x:c>
      <x:c r="C5" s="6" t="str">
        <x:v>k（年）</x:v>
      </x:c>
      <x:c r="D5" s="6" t="str">
        <x:v>生产年</x:v>
      </x:c>
      <x:c r="E5" s="6" t="str">
        <x:v>销售年</x:v>
      </x:c>
      <x:c r="F5" s="6" t="str">
        <x:v>基酒产量（吨）</x:v>
      </x:c>
      <x:c r="G5" s="6" t="str">
        <x:v>成品销量（吨）</x:v>
      </x:c>
      <x:c r="H5" s="6" t="str">
        <x:v>有效年对</x:v>
      </x:c>
      <x:c r="I5" s="1"/>
      <x:c r="J5" s="1"/>
      <x:c r="K5" s="1"/>
      <x:c r="L5" s="1"/>
      <x:c r="M5" s="1"/>
      <x:c r="N5" s="1"/>
    </x:row>
    <x:row r="6" ht="22" customHeight="1">
      <x:c r="B6" s="1" t="str">
        <x:v>茅台酒</x:v>
      </x:c>
      <x:c r="C6" s="1" t="n">
        <x:v>0</x:v>
      </x:c>
      <x:c r="D6" s="1" t="n">
        <x:f>'原数'!B6</x:f>
        <x:v>2016</x:v>
      </x:c>
      <x:c r="E6" s="1" t="n">
        <x:f>'原数'!B6</x:f>
        <x:v>2016</x:v>
      </x:c>
      <x:c r="F6" s="7" t="n">
        <x:f>IF(ISNUMBER('原数'!C6),'原数'!C6,"缺失")</x:f>
        <x:v>39312.53</x:v>
      </x:c>
      <x:c r="G6" s="7" t="n">
        <x:f>IF(ISNUMBER('原数'!D6),'原数'!D6,"缺失")</x:f>
        <x:v>22917.66</x:v>
      </x:c>
      <x:c r="H6" s="1" t="n">
        <x:f>IF(AND(ISNUMBER(F6),ISNUMBER(G6)),1,0)</x:f>
        <x:v>1</x:v>
      </x:c>
      <x:c r="I6" s="1"/>
      <x:c r="J6" s="1"/>
      <x:c r="K6" s="1"/>
      <x:c r="L6" s="1"/>
      <x:c r="M6" s="1"/>
      <x:c r="N6" s="1"/>
    </x:row>
    <x:row r="7" ht="22" customHeight="1">
      <x:c r="B7" s="1" t="str">
        <x:v>茅台酒</x:v>
      </x:c>
      <x:c r="C7" s="1" t="n">
        <x:v>0</x:v>
      </x:c>
      <x:c r="D7" s="1" t="n">
        <x:f>'原数'!B7</x:f>
        <x:v>2017</x:v>
      </x:c>
      <x:c r="E7" s="1" t="n">
        <x:f>'原数'!B7</x:f>
        <x:v>2017</x:v>
      </x:c>
      <x:c r="F7" s="7" t="n">
        <x:f>IF(ISNUMBER('原数'!C7),'原数'!C7,"缺失")</x:f>
        <x:v>42828.59</x:v>
      </x:c>
      <x:c r="G7" s="7" t="n">
        <x:f>IF(ISNUMBER('原数'!D7),'原数'!D7,"缺失")</x:f>
        <x:v>30205.52</x:v>
      </x:c>
      <x:c r="H7" s="1" t="n">
        <x:f>IF(AND(ISNUMBER(F7),ISNUMBER(G7)),1,0)</x:f>
        <x:v>1</x:v>
      </x:c>
      <x:c r="I7" s="1"/>
      <x:c r="J7" s="1"/>
      <x:c r="K7" s="1"/>
      <x:c r="L7" s="1"/>
      <x:c r="M7" s="1"/>
      <x:c r="N7" s="1"/>
    </x:row>
    <x:row r="8" ht="22" customHeight="1">
      <x:c r="B8" s="1" t="str">
        <x:v>茅台酒</x:v>
      </x:c>
      <x:c r="C8" s="1" t="n">
        <x:v>0</x:v>
      </x:c>
      <x:c r="D8" s="1" t="n">
        <x:f>'原数'!B8</x:f>
        <x:v>2018</x:v>
      </x:c>
      <x:c r="E8" s="1" t="n">
        <x:f>'原数'!B8</x:f>
        <x:v>2018</x:v>
      </x:c>
      <x:c r="F8" s="7" t="n">
        <x:f>IF(ISNUMBER('原数'!C8),'原数'!C8,"缺失")</x:f>
        <x:v>49671.69</x:v>
      </x:c>
      <x:c r="G8" s="7" t="n">
        <x:f>IF(ISNUMBER('原数'!D8),'原数'!D8,"缺失")</x:f>
        <x:v>32463.95</x:v>
      </x:c>
      <x:c r="H8" s="1" t="n">
        <x:f>IF(AND(ISNUMBER(F8),ISNUMBER(G8)),1,0)</x:f>
        <x:v>1</x:v>
      </x:c>
      <x:c r="I8" s="1"/>
      <x:c r="J8" s="1"/>
      <x:c r="K8" s="1"/>
      <x:c r="L8" s="1"/>
      <x:c r="M8" s="1"/>
      <x:c r="N8" s="1"/>
    </x:row>
    <x:row r="9" ht="22" customHeight="1">
      <x:c r="B9" s="1" t="str">
        <x:v>茅台酒</x:v>
      </x:c>
      <x:c r="C9" s="1" t="n">
        <x:v>0</x:v>
      </x:c>
      <x:c r="D9" s="1" t="n">
        <x:f>'原数'!B9</x:f>
        <x:v>2019</x:v>
      </x:c>
      <x:c r="E9" s="1" t="n">
        <x:f>'原数'!B9</x:f>
        <x:v>2019</x:v>
      </x:c>
      <x:c r="F9" s="7" t="n">
        <x:f>IF(ISNUMBER('原数'!C9),'原数'!C9,"缺失")</x:f>
        <x:v>49922.71</x:v>
      </x:c>
      <x:c r="G9" s="7" t="n">
        <x:f>IF(ISNUMBER('原数'!D9),'原数'!D9,"缺失")</x:f>
        <x:v>34562.46</x:v>
      </x:c>
      <x:c r="H9" s="1" t="n">
        <x:f>IF(AND(ISNUMBER(F9),ISNUMBER(G9)),1,0)</x:f>
        <x:v>1</x:v>
      </x:c>
      <x:c r="I9" s="1"/>
      <x:c r="J9" s="1"/>
      <x:c r="K9" s="1"/>
      <x:c r="L9" s="1"/>
      <x:c r="M9" s="1"/>
      <x:c r="N9" s="1"/>
    </x:row>
    <x:row r="10" ht="22" customHeight="1">
      <x:c r="B10" s="1" t="str">
        <x:v>茅台酒</x:v>
      </x:c>
      <x:c r="C10" s="1" t="n">
        <x:v>0</x:v>
      </x:c>
      <x:c r="D10" s="1" t="n">
        <x:f>'原数'!B10</x:f>
        <x:v>2020</x:v>
      </x:c>
      <x:c r="E10" s="1" t="n">
        <x:f>'原数'!B10</x:f>
        <x:v>2020</x:v>
      </x:c>
      <x:c r="F10" s="7" t="n">
        <x:f>IF(ISNUMBER('原数'!C10),'原数'!C10,"缺失")</x:f>
        <x:v>50235.17</x:v>
      </x:c>
      <x:c r="G10" s="7" t="n">
        <x:f>IF(ISNUMBER('原数'!D10),'原数'!D10,"缺失")</x:f>
        <x:v>34312.53</x:v>
      </x:c>
      <x:c r="H10" s="1" t="n">
        <x:f>IF(AND(ISNUMBER(F10),ISNUMBER(G10)),1,0)</x:f>
        <x:v>1</x:v>
      </x:c>
      <x:c r="I10" s="1"/>
      <x:c r="J10" s="1"/>
      <x:c r="K10" s="1"/>
      <x:c r="L10" s="1"/>
      <x:c r="M10" s="1"/>
      <x:c r="N10" s="1"/>
    </x:row>
    <x:row r="11" ht="22" customHeight="1">
      <x:c r="B11" s="1" t="str">
        <x:v>茅台酒</x:v>
      </x:c>
      <x:c r="C11" s="1" t="n">
        <x:v>0</x:v>
      </x:c>
      <x:c r="D11" s="1" t="n">
        <x:f>'原数'!B11</x:f>
        <x:v>2021</x:v>
      </x:c>
      <x:c r="E11" s="1" t="n">
        <x:f>'原数'!B11</x:f>
        <x:v>2021</x:v>
      </x:c>
      <x:c r="F11" s="7" t="n">
        <x:f>IF(ISNUMBER('原数'!C11),'原数'!C11,"缺失")</x:f>
        <x:v>56472.25</x:v>
      </x:c>
      <x:c r="G11" s="7" t="n">
        <x:f>IF(ISNUMBER('原数'!D11),'原数'!D11,"缺失")</x:f>
        <x:v>36261.31</x:v>
      </x:c>
      <x:c r="H11" s="1" t="n">
        <x:f>IF(AND(ISNUMBER(F11),ISNUMBER(G11)),1,0)</x:f>
        <x:v>1</x:v>
      </x:c>
      <x:c r="I11" s="1"/>
      <x:c r="J11" s="1"/>
      <x:c r="K11" s="1"/>
      <x:c r="L11" s="1"/>
      <x:c r="M11" s="1"/>
      <x:c r="N11" s="1"/>
    </x:row>
    <x:row r="12" ht="22" customHeight="1">
      <x:c r="B12" s="1" t="str">
        <x:v>茅台酒</x:v>
      </x:c>
      <x:c r="C12" s="1" t="n">
        <x:v>0</x:v>
      </x:c>
      <x:c r="D12" s="1" t="n">
        <x:f>'原数'!B12</x:f>
        <x:v>2022</x:v>
      </x:c>
      <x:c r="E12" s="1" t="n">
        <x:f>'原数'!B12</x:f>
        <x:v>2022</x:v>
      </x:c>
      <x:c r="F12" s="7" t="n">
        <x:f>IF(ISNUMBER('原数'!C12),'原数'!C12,"缺失")</x:f>
        <x:v>56810.44</x:v>
      </x:c>
      <x:c r="G12" s="7" t="n">
        <x:f>IF(ISNUMBER('原数'!D12),'原数'!D12,"缺失")</x:f>
        <x:v>37901.39</x:v>
      </x:c>
      <x:c r="H12" s="1" t="n">
        <x:f>IF(AND(ISNUMBER(F12),ISNUMBER(G12)),1,0)</x:f>
        <x:v>1</x:v>
      </x:c>
      <x:c r="I12" s="1"/>
      <x:c r="J12" s="1"/>
      <x:c r="K12" s="1"/>
      <x:c r="L12" s="1"/>
      <x:c r="M12" s="1"/>
      <x:c r="N12" s="1"/>
    </x:row>
    <x:row r="13" ht="22" customHeight="1">
      <x:c r="B13" s="1" t="str">
        <x:v>茅台酒</x:v>
      </x:c>
      <x:c r="C13" s="1" t="n">
        <x:v>0</x:v>
      </x:c>
      <x:c r="D13" s="1" t="n">
        <x:f>'原数'!B13</x:f>
        <x:v>2023</x:v>
      </x:c>
      <x:c r="E13" s="1" t="n">
        <x:f>'原数'!B13</x:f>
        <x:v>2023</x:v>
      </x:c>
      <x:c r="F13" s="7" t="n">
        <x:f>IF(ISNUMBER('原数'!C13),'原数'!C13,"缺失")</x:f>
        <x:v>57204.11</x:v>
      </x:c>
      <x:c r="G13" s="7" t="n">
        <x:f>IF(ISNUMBER('原数'!D13),'原数'!D13,"缺失")</x:f>
        <x:v>42109.5</x:v>
      </x:c>
      <x:c r="H13" s="1" t="n">
        <x:f>IF(AND(ISNUMBER(F13),ISNUMBER(G13)),1,0)</x:f>
        <x:v>1</x:v>
      </x:c>
      <x:c r="I13" s="1"/>
      <x:c r="J13" s="1"/>
      <x:c r="K13" s="1"/>
      <x:c r="L13" s="1"/>
      <x:c r="M13" s="1"/>
      <x:c r="N13" s="1"/>
    </x:row>
    <x:row r="14" ht="22" customHeight="1">
      <x:c r="B14" s="1" t="str">
        <x:v>茅台酒</x:v>
      </x:c>
      <x:c r="C14" s="1" t="n">
        <x:v>0</x:v>
      </x:c>
      <x:c r="D14" s="1" t="n">
        <x:f>'原数'!B14</x:f>
        <x:v>2024</x:v>
      </x:c>
      <x:c r="E14" s="1" t="n">
        <x:f>'原数'!B14</x:f>
        <x:v>2024</x:v>
      </x:c>
      <x:c r="F14" s="7" t="n">
        <x:f>IF(ISNUMBER('原数'!C14),'原数'!C14,"缺失")</x:f>
        <x:v>56271.99</x:v>
      </x:c>
      <x:c r="G14" s="7" t="n">
        <x:f>IF(ISNUMBER('原数'!D14),'原数'!D14,"缺失")</x:f>
        <x:v>46412.95</x:v>
      </x:c>
      <x:c r="H14" s="1" t="n">
        <x:f>IF(AND(ISNUMBER(F14),ISNUMBER(G14)),1,0)</x:f>
        <x:v>1</x:v>
      </x:c>
      <x:c r="I14" s="1"/>
      <x:c r="J14" s="1"/>
      <x:c r="K14" s="1"/>
      <x:c r="L14" s="1"/>
      <x:c r="M14" s="1"/>
      <x:c r="N14" s="1"/>
    </x:row>
    <x:row r="15" ht="22" customHeight="1">
      <x:c r="B15" s="1" t="str">
        <x:v>茅台酒</x:v>
      </x:c>
      <x:c r="C15" s="1" t="n">
        <x:v>0</x:v>
      </x:c>
      <x:c r="D15" s="1" t="n">
        <x:f>'原数'!B15</x:f>
        <x:v>2025</x:v>
      </x:c>
      <x:c r="E15" s="1" t="n">
        <x:f>'原数'!B15</x:f>
        <x:v>2025</x:v>
      </x:c>
      <x:c r="F15" s="7" t="n">
        <x:f>IF(ISNUMBER('原数'!C15),'原数'!C15,"缺失")</x:f>
        <x:v>58473.16</x:v>
      </x:c>
      <x:c r="G15" s="7" t="n">
        <x:f>IF(ISNUMBER('原数'!D15),'原数'!D15,"缺失")</x:f>
        <x:v>46750.66</x:v>
      </x:c>
      <x:c r="H15" s="1" t="n">
        <x:f>IF(AND(ISNUMBER(F15),ISNUMBER(G15)),1,0)</x:f>
        <x:v>1</x:v>
      </x:c>
      <x:c r="I15" s="1"/>
      <x:c r="J15" s="1"/>
      <x:c r="K15" s="1"/>
      <x:c r="L15" s="1"/>
      <x:c r="M15" s="1"/>
      <x:c r="N15" s="1"/>
    </x:row>
    <x:row r="16" ht="22" customHeight="1">
      <x:c r="B16" s="1" t="str">
        <x:v>茅台酒</x:v>
      </x:c>
      <x:c r="C16" s="1" t="n">
        <x:v>1</x:v>
      </x:c>
      <x:c r="D16" s="1" t="n">
        <x:f>'原数'!B6</x:f>
        <x:v>2016</x:v>
      </x:c>
      <x:c r="E16" s="1" t="n">
        <x:f>'原数'!B7</x:f>
        <x:v>2017</x:v>
      </x:c>
      <x:c r="F16" s="7" t="n">
        <x:f>IF(ISNUMBER('原数'!C6),'原数'!C6,"缺失")</x:f>
        <x:v>39312.53</x:v>
      </x:c>
      <x:c r="G16" s="7" t="n">
        <x:f>IF(ISNUMBER('原数'!D7),'原数'!D7,"缺失")</x:f>
        <x:v>30205.52</x:v>
      </x:c>
      <x:c r="H16" s="1" t="n">
        <x:f>IF(AND(ISNUMBER(F16),ISNUMBER(G16)),1,0)</x:f>
        <x:v>1</x:v>
      </x:c>
      <x:c r="I16" s="1"/>
      <x:c r="J16" s="1"/>
      <x:c r="K16" s="1"/>
      <x:c r="L16" s="1"/>
      <x:c r="M16" s="1"/>
      <x:c r="N16" s="1"/>
    </x:row>
    <x:row r="17" ht="22" customHeight="1">
      <x:c r="B17" s="1" t="str">
        <x:v>茅台酒</x:v>
      </x:c>
      <x:c r="C17" s="1" t="n">
        <x:v>1</x:v>
      </x:c>
      <x:c r="D17" s="1" t="n">
        <x:f>'原数'!B7</x:f>
        <x:v>2017</x:v>
      </x:c>
      <x:c r="E17" s="1" t="n">
        <x:f>'原数'!B8</x:f>
        <x:v>2018</x:v>
      </x:c>
      <x:c r="F17" s="7" t="n">
        <x:f>IF(ISNUMBER('原数'!C7),'原数'!C7,"缺失")</x:f>
        <x:v>42828.59</x:v>
      </x:c>
      <x:c r="G17" s="7" t="n">
        <x:f>IF(ISNUMBER('原数'!D8),'原数'!D8,"缺失")</x:f>
        <x:v>32463.95</x:v>
      </x:c>
      <x:c r="H17" s="1" t="n">
        <x:f>IF(AND(ISNUMBER(F17),ISNUMBER(G17)),1,0)</x:f>
        <x:v>1</x:v>
      </x:c>
      <x:c r="I17" s="1"/>
      <x:c r="J17" s="1"/>
      <x:c r="K17" s="1"/>
      <x:c r="L17" s="1"/>
      <x:c r="M17" s="1"/>
      <x:c r="N17" s="1"/>
    </x:row>
    <x:row r="18" ht="22" customHeight="1">
      <x:c r="B18" s="1" t="str">
        <x:v>茅台酒</x:v>
      </x:c>
      <x:c r="C18" s="1" t="n">
        <x:v>1</x:v>
      </x:c>
      <x:c r="D18" s="1" t="n">
        <x:f>'原数'!B8</x:f>
        <x:v>2018</x:v>
      </x:c>
      <x:c r="E18" s="1" t="n">
        <x:f>'原数'!B9</x:f>
        <x:v>2019</x:v>
      </x:c>
      <x:c r="F18" s="7" t="n">
        <x:f>IF(ISNUMBER('原数'!C8),'原数'!C8,"缺失")</x:f>
        <x:v>49671.69</x:v>
      </x:c>
      <x:c r="G18" s="7" t="n">
        <x:f>IF(ISNUMBER('原数'!D9),'原数'!D9,"缺失")</x:f>
        <x:v>34562.46</x:v>
      </x:c>
      <x:c r="H18" s="1" t="n">
        <x:f>IF(AND(ISNUMBER(F18),ISNUMBER(G18)),1,0)</x:f>
        <x:v>1</x:v>
      </x:c>
      <x:c r="I18" s="1"/>
      <x:c r="J18" s="1"/>
      <x:c r="K18" s="1"/>
      <x:c r="L18" s="1"/>
      <x:c r="M18" s="1"/>
      <x:c r="N18" s="1"/>
    </x:row>
    <x:row r="19" ht="22" customHeight="1">
      <x:c r="B19" s="1" t="str">
        <x:v>茅台酒</x:v>
      </x:c>
      <x:c r="C19" s="1" t="n">
        <x:v>1</x:v>
      </x:c>
      <x:c r="D19" s="1" t="n">
        <x:f>'原数'!B9</x:f>
        <x:v>2019</x:v>
      </x:c>
      <x:c r="E19" s="1" t="n">
        <x:f>'原数'!B10</x:f>
        <x:v>2020</x:v>
      </x:c>
      <x:c r="F19" s="7" t="n">
        <x:f>IF(ISNUMBER('原数'!C9),'原数'!C9,"缺失")</x:f>
        <x:v>49922.71</x:v>
      </x:c>
      <x:c r="G19" s="7" t="n">
        <x:f>IF(ISNUMBER('原数'!D10),'原数'!D10,"缺失")</x:f>
        <x:v>34312.53</x:v>
      </x:c>
      <x:c r="H19" s="1" t="n">
        <x:f>IF(AND(ISNUMBER(F19),ISNUMBER(G19)),1,0)</x:f>
        <x:v>1</x:v>
      </x:c>
      <x:c r="I19" s="1"/>
      <x:c r="J19" s="1"/>
      <x:c r="K19" s="1"/>
      <x:c r="L19" s="1"/>
      <x:c r="M19" s="1"/>
      <x:c r="N19" s="1"/>
    </x:row>
    <x:row r="20" ht="22" customHeight="1">
      <x:c r="B20" s="1" t="str">
        <x:v>茅台酒</x:v>
      </x:c>
      <x:c r="C20" s="1" t="n">
        <x:v>1</x:v>
      </x:c>
      <x:c r="D20" s="1" t="n">
        <x:f>'原数'!B10</x:f>
        <x:v>2020</x:v>
      </x:c>
      <x:c r="E20" s="1" t="n">
        <x:f>'原数'!B11</x:f>
        <x:v>2021</x:v>
      </x:c>
      <x:c r="F20" s="7" t="n">
        <x:f>IF(ISNUMBER('原数'!C10),'原数'!C10,"缺失")</x:f>
        <x:v>50235.17</x:v>
      </x:c>
      <x:c r="G20" s="7" t="n">
        <x:f>IF(ISNUMBER('原数'!D11),'原数'!D11,"缺失")</x:f>
        <x:v>36261.31</x:v>
      </x:c>
      <x:c r="H20" s="1" t="n">
        <x:f>IF(AND(ISNUMBER(F20),ISNUMBER(G20)),1,0)</x:f>
        <x:v>1</x:v>
      </x:c>
      <x:c r="I20" s="1"/>
      <x:c r="J20" s="1"/>
      <x:c r="K20" s="1"/>
      <x:c r="L20" s="1"/>
      <x:c r="M20" s="1"/>
      <x:c r="N20" s="1"/>
    </x:row>
    <x:row r="21" ht="22" customHeight="1">
      <x:c r="B21" s="1" t="str">
        <x:v>茅台酒</x:v>
      </x:c>
      <x:c r="C21" s="1" t="n">
        <x:v>1</x:v>
      </x:c>
      <x:c r="D21" s="1" t="n">
        <x:f>'原数'!B11</x:f>
        <x:v>2021</x:v>
      </x:c>
      <x:c r="E21" s="1" t="n">
        <x:f>'原数'!B12</x:f>
        <x:v>2022</x:v>
      </x:c>
      <x:c r="F21" s="7" t="n">
        <x:f>IF(ISNUMBER('原数'!C11),'原数'!C11,"缺失")</x:f>
        <x:v>56472.25</x:v>
      </x:c>
      <x:c r="G21" s="7" t="n">
        <x:f>IF(ISNUMBER('原数'!D12),'原数'!D12,"缺失")</x:f>
        <x:v>37901.39</x:v>
      </x:c>
      <x:c r="H21" s="1" t="n">
        <x:f>IF(AND(ISNUMBER(F21),ISNUMBER(G21)),1,0)</x:f>
        <x:v>1</x:v>
      </x:c>
      <x:c r="I21" s="1"/>
      <x:c r="J21" s="1"/>
      <x:c r="K21" s="1"/>
      <x:c r="L21" s="1"/>
      <x:c r="M21" s="1"/>
      <x:c r="N21" s="1"/>
    </x:row>
    <x:row r="22" ht="22" customHeight="1">
      <x:c r="B22" s="1" t="str">
        <x:v>茅台酒</x:v>
      </x:c>
      <x:c r="C22" s="1" t="n">
        <x:v>1</x:v>
      </x:c>
      <x:c r="D22" s="1" t="n">
        <x:f>'原数'!B12</x:f>
        <x:v>2022</x:v>
      </x:c>
      <x:c r="E22" s="1" t="n">
        <x:f>'原数'!B13</x:f>
        <x:v>2023</x:v>
      </x:c>
      <x:c r="F22" s="7" t="n">
        <x:f>IF(ISNUMBER('原数'!C12),'原数'!C12,"缺失")</x:f>
        <x:v>56810.44</x:v>
      </x:c>
      <x:c r="G22" s="7" t="n">
        <x:f>IF(ISNUMBER('原数'!D13),'原数'!D13,"缺失")</x:f>
        <x:v>42109.5</x:v>
      </x:c>
      <x:c r="H22" s="1" t="n">
        <x:f>IF(AND(ISNUMBER(F22),ISNUMBER(G22)),1,0)</x:f>
        <x:v>1</x:v>
      </x:c>
      <x:c r="I22" s="1"/>
      <x:c r="J22" s="1"/>
      <x:c r="K22" s="1"/>
      <x:c r="L22" s="1"/>
      <x:c r="M22" s="1"/>
      <x:c r="N22" s="1"/>
    </x:row>
    <x:row r="23" ht="22" customHeight="1">
      <x:c r="B23" s="1" t="str">
        <x:v>茅台酒</x:v>
      </x:c>
      <x:c r="C23" s="1" t="n">
        <x:v>1</x:v>
      </x:c>
      <x:c r="D23" s="1" t="n">
        <x:f>'原数'!B13</x:f>
        <x:v>2023</x:v>
      </x:c>
      <x:c r="E23" s="1" t="n">
        <x:f>'原数'!B14</x:f>
        <x:v>2024</x:v>
      </x:c>
      <x:c r="F23" s="7" t="n">
        <x:f>IF(ISNUMBER('原数'!C13),'原数'!C13,"缺失")</x:f>
        <x:v>57204.11</x:v>
      </x:c>
      <x:c r="G23" s="7" t="n">
        <x:f>IF(ISNUMBER('原数'!D14),'原数'!D14,"缺失")</x:f>
        <x:v>46412.95</x:v>
      </x:c>
      <x:c r="H23" s="1" t="n">
        <x:f>IF(AND(ISNUMBER(F23),ISNUMBER(G23)),1,0)</x:f>
        <x:v>1</x:v>
      </x:c>
      <x:c r="I23" s="1"/>
      <x:c r="J23" s="1"/>
      <x:c r="K23" s="1"/>
      <x:c r="L23" s="1"/>
      <x:c r="M23" s="1"/>
      <x:c r="N23" s="1"/>
    </x:row>
    <x:row r="24" ht="22" customHeight="1">
      <x:c r="B24" s="1" t="str">
        <x:v>茅台酒</x:v>
      </x:c>
      <x:c r="C24" s="1" t="n">
        <x:v>1</x:v>
      </x:c>
      <x:c r="D24" s="1" t="n">
        <x:f>'原数'!B14</x:f>
        <x:v>2024</x:v>
      </x:c>
      <x:c r="E24" s="1" t="n">
        <x:f>'原数'!B15</x:f>
        <x:v>2025</x:v>
      </x:c>
      <x:c r="F24" s="7" t="n">
        <x:f>IF(ISNUMBER('原数'!C14),'原数'!C14,"缺失")</x:f>
        <x:v>56271.99</x:v>
      </x:c>
      <x:c r="G24" s="7" t="n">
        <x:f>IF(ISNUMBER('原数'!D15),'原数'!D15,"缺失")</x:f>
        <x:v>46750.66</x:v>
      </x:c>
      <x:c r="H24" s="1" t="n">
        <x:f>IF(AND(ISNUMBER(F24),ISNUMBER(G24)),1,0)</x:f>
        <x:v>1</x:v>
      </x:c>
      <x:c r="I24" s="1"/>
      <x:c r="J24" s="1"/>
      <x:c r="K24" s="1"/>
      <x:c r="L24" s="1"/>
      <x:c r="M24" s="1"/>
      <x:c r="N24" s="1"/>
    </x:row>
    <x:row r="25" ht="22" customHeight="1">
      <x:c r="B25" s="1" t="str">
        <x:v>茅台酒</x:v>
      </x:c>
      <x:c r="C25" s="1" t="n">
        <x:v>2</x:v>
      </x:c>
      <x:c r="D25" s="1" t="n">
        <x:f>'原数'!B6</x:f>
        <x:v>2016</x:v>
      </x:c>
      <x:c r="E25" s="1" t="n">
        <x:f>'原数'!B8</x:f>
        <x:v>2018</x:v>
      </x:c>
      <x:c r="F25" s="7" t="n">
        <x:f>IF(ISNUMBER('原数'!C6),'原数'!C6,"缺失")</x:f>
        <x:v>39312.53</x:v>
      </x:c>
      <x:c r="G25" s="7" t="n">
        <x:f>IF(ISNUMBER('原数'!D8),'原数'!D8,"缺失")</x:f>
        <x:v>32463.95</x:v>
      </x:c>
      <x:c r="H25" s="1" t="n">
        <x:f>IF(AND(ISNUMBER(F25),ISNUMBER(G25)),1,0)</x:f>
        <x:v>1</x:v>
      </x:c>
      <x:c r="I25" s="1"/>
      <x:c r="J25" s="1"/>
      <x:c r="K25" s="1"/>
      <x:c r="L25" s="1"/>
      <x:c r="M25" s="1"/>
      <x:c r="N25" s="1"/>
    </x:row>
    <x:row r="26" ht="22" customHeight="1">
      <x:c r="B26" s="1" t="str">
        <x:v>茅台酒</x:v>
      </x:c>
      <x:c r="C26" s="1" t="n">
        <x:v>2</x:v>
      </x:c>
      <x:c r="D26" s="1" t="n">
        <x:f>'原数'!B7</x:f>
        <x:v>2017</x:v>
      </x:c>
      <x:c r="E26" s="1" t="n">
        <x:f>'原数'!B9</x:f>
        <x:v>2019</x:v>
      </x:c>
      <x:c r="F26" s="7" t="n">
        <x:f>IF(ISNUMBER('原数'!C7),'原数'!C7,"缺失")</x:f>
        <x:v>42828.59</x:v>
      </x:c>
      <x:c r="G26" s="7" t="n">
        <x:f>IF(ISNUMBER('原数'!D9),'原数'!D9,"缺失")</x:f>
        <x:v>34562.46</x:v>
      </x:c>
      <x:c r="H26" s="1" t="n">
        <x:f>IF(AND(ISNUMBER(F26),ISNUMBER(G26)),1,0)</x:f>
        <x:v>1</x:v>
      </x:c>
      <x:c r="I26" s="1"/>
      <x:c r="J26" s="1"/>
      <x:c r="K26" s="1"/>
      <x:c r="L26" s="1"/>
      <x:c r="M26" s="1"/>
      <x:c r="N26" s="1"/>
    </x:row>
    <x:row r="27" ht="22" customHeight="1">
      <x:c r="B27" s="1" t="str">
        <x:v>茅台酒</x:v>
      </x:c>
      <x:c r="C27" s="1" t="n">
        <x:v>2</x:v>
      </x:c>
      <x:c r="D27" s="1" t="n">
        <x:f>'原数'!B8</x:f>
        <x:v>2018</x:v>
      </x:c>
      <x:c r="E27" s="1" t="n">
        <x:f>'原数'!B10</x:f>
        <x:v>2020</x:v>
      </x:c>
      <x:c r="F27" s="7" t="n">
        <x:f>IF(ISNUMBER('原数'!C8),'原数'!C8,"缺失")</x:f>
        <x:v>49671.69</x:v>
      </x:c>
      <x:c r="G27" s="7" t="n">
        <x:f>IF(ISNUMBER('原数'!D10),'原数'!D10,"缺失")</x:f>
        <x:v>34312.53</x:v>
      </x:c>
      <x:c r="H27" s="1" t="n">
        <x:f>IF(AND(ISNUMBER(F27),ISNUMBER(G27)),1,0)</x:f>
        <x:v>1</x:v>
      </x:c>
      <x:c r="I27" s="1"/>
      <x:c r="J27" s="1"/>
      <x:c r="K27" s="1"/>
      <x:c r="L27" s="1"/>
      <x:c r="M27" s="1"/>
      <x:c r="N27" s="1"/>
    </x:row>
    <x:row r="28" ht="22" customHeight="1">
      <x:c r="B28" s="1" t="str">
        <x:v>茅台酒</x:v>
      </x:c>
      <x:c r="C28" s="1" t="n">
        <x:v>2</x:v>
      </x:c>
      <x:c r="D28" s="1" t="n">
        <x:f>'原数'!B9</x:f>
        <x:v>2019</x:v>
      </x:c>
      <x:c r="E28" s="1" t="n">
        <x:f>'原数'!B11</x:f>
        <x:v>2021</x:v>
      </x:c>
      <x:c r="F28" s="7" t="n">
        <x:f>IF(ISNUMBER('原数'!C9),'原数'!C9,"缺失")</x:f>
        <x:v>49922.71</x:v>
      </x:c>
      <x:c r="G28" s="7" t="n">
        <x:f>IF(ISNUMBER('原数'!D11),'原数'!D11,"缺失")</x:f>
        <x:v>36261.31</x:v>
      </x:c>
      <x:c r="H28" s="1" t="n">
        <x:f>IF(AND(ISNUMBER(F28),ISNUMBER(G28)),1,0)</x:f>
        <x:v>1</x:v>
      </x:c>
      <x:c r="I28" s="1"/>
      <x:c r="J28" s="1"/>
      <x:c r="K28" s="1"/>
      <x:c r="L28" s="1"/>
      <x:c r="M28" s="1"/>
      <x:c r="N28" s="1"/>
    </x:row>
    <x:row r="29" ht="22" customHeight="1">
      <x:c r="B29" s="1" t="str">
        <x:v>茅台酒</x:v>
      </x:c>
      <x:c r="C29" s="1" t="n">
        <x:v>2</x:v>
      </x:c>
      <x:c r="D29" s="1" t="n">
        <x:f>'原数'!B10</x:f>
        <x:v>2020</x:v>
      </x:c>
      <x:c r="E29" s="1" t="n">
        <x:f>'原数'!B12</x:f>
        <x:v>2022</x:v>
      </x:c>
      <x:c r="F29" s="7" t="n">
        <x:f>IF(ISNUMBER('原数'!C10),'原数'!C10,"缺失")</x:f>
        <x:v>50235.17</x:v>
      </x:c>
      <x:c r="G29" s="7" t="n">
        <x:f>IF(ISNUMBER('原数'!D12),'原数'!D12,"缺失")</x:f>
        <x:v>37901.39</x:v>
      </x:c>
      <x:c r="H29" s="1" t="n">
        <x:f>IF(AND(ISNUMBER(F29),ISNUMBER(G29)),1,0)</x:f>
        <x:v>1</x:v>
      </x:c>
      <x:c r="I29" s="1"/>
      <x:c r="J29" s="1"/>
      <x:c r="K29" s="1"/>
      <x:c r="L29" s="1"/>
      <x:c r="M29" s="1"/>
      <x:c r="N29" s="1"/>
    </x:row>
    <x:row r="30" ht="22" customHeight="1">
      <x:c r="B30" s="1" t="str">
        <x:v>茅台酒</x:v>
      </x:c>
      <x:c r="C30" s="1" t="n">
        <x:v>2</x:v>
      </x:c>
      <x:c r="D30" s="1" t="n">
        <x:f>'原数'!B11</x:f>
        <x:v>2021</x:v>
      </x:c>
      <x:c r="E30" s="1" t="n">
        <x:f>'原数'!B13</x:f>
        <x:v>2023</x:v>
      </x:c>
      <x:c r="F30" s="7" t="n">
        <x:f>IF(ISNUMBER('原数'!C11),'原数'!C11,"缺失")</x:f>
        <x:v>56472.25</x:v>
      </x:c>
      <x:c r="G30" s="7" t="n">
        <x:f>IF(ISNUMBER('原数'!D13),'原数'!D13,"缺失")</x:f>
        <x:v>42109.5</x:v>
      </x:c>
      <x:c r="H30" s="1" t="n">
        <x:f>IF(AND(ISNUMBER(F30),ISNUMBER(G30)),1,0)</x:f>
        <x:v>1</x:v>
      </x:c>
      <x:c r="I30" s="1"/>
      <x:c r="J30" s="1"/>
      <x:c r="K30" s="1"/>
      <x:c r="L30" s="1"/>
      <x:c r="M30" s="1"/>
      <x:c r="N30" s="1"/>
    </x:row>
    <x:row r="31" ht="22" customHeight="1">
      <x:c r="B31" s="1" t="str">
        <x:v>茅台酒</x:v>
      </x:c>
      <x:c r="C31" s="1" t="n">
        <x:v>2</x:v>
      </x:c>
      <x:c r="D31" s="1" t="n">
        <x:f>'原数'!B12</x:f>
        <x:v>2022</x:v>
      </x:c>
      <x:c r="E31" s="1" t="n">
        <x:f>'原数'!B14</x:f>
        <x:v>2024</x:v>
      </x:c>
      <x:c r="F31" s="7" t="n">
        <x:f>IF(ISNUMBER('原数'!C12),'原数'!C12,"缺失")</x:f>
        <x:v>56810.44</x:v>
      </x:c>
      <x:c r="G31" s="7" t="n">
        <x:f>IF(ISNUMBER('原数'!D14),'原数'!D14,"缺失")</x:f>
        <x:v>46412.95</x:v>
      </x:c>
      <x:c r="H31" s="1" t="n">
        <x:f>IF(AND(ISNUMBER(F31),ISNUMBER(G31)),1,0)</x:f>
        <x:v>1</x:v>
      </x:c>
      <x:c r="I31" s="1"/>
      <x:c r="J31" s="1"/>
      <x:c r="K31" s="1"/>
      <x:c r="L31" s="1"/>
      <x:c r="M31" s="1"/>
      <x:c r="N31" s="1"/>
    </x:row>
    <x:row r="32" ht="22" customHeight="1">
      <x:c r="B32" s="1" t="str">
        <x:v>茅台酒</x:v>
      </x:c>
      <x:c r="C32" s="1" t="n">
        <x:v>2</x:v>
      </x:c>
      <x:c r="D32" s="1" t="n">
        <x:f>'原数'!B13</x:f>
        <x:v>2023</x:v>
      </x:c>
      <x:c r="E32" s="1" t="n">
        <x:f>'原数'!B15</x:f>
        <x:v>2025</x:v>
      </x:c>
      <x:c r="F32" s="7" t="n">
        <x:f>IF(ISNUMBER('原数'!C13),'原数'!C13,"缺失")</x:f>
        <x:v>57204.11</x:v>
      </x:c>
      <x:c r="G32" s="7" t="n">
        <x:f>IF(ISNUMBER('原数'!D15),'原数'!D15,"缺失")</x:f>
        <x:v>46750.66</x:v>
      </x:c>
      <x:c r="H32" s="1" t="n">
        <x:f>IF(AND(ISNUMBER(F32),ISNUMBER(G32)),1,0)</x:f>
        <x:v>1</x:v>
      </x:c>
      <x:c r="I32" s="1"/>
      <x:c r="J32" s="1"/>
      <x:c r="K32" s="1"/>
      <x:c r="L32" s="1"/>
      <x:c r="M32" s="1"/>
      <x:c r="N32" s="1"/>
    </x:row>
    <x:row r="33" ht="22" customHeight="1">
      <x:c r="B33" s="1" t="str">
        <x:v>茅台酒</x:v>
      </x:c>
      <x:c r="C33" s="1" t="n">
        <x:v>3</x:v>
      </x:c>
      <x:c r="D33" s="1" t="n">
        <x:f>'原数'!B6</x:f>
        <x:v>2016</x:v>
      </x:c>
      <x:c r="E33" s="1" t="n">
        <x:f>'原数'!B9</x:f>
        <x:v>2019</x:v>
      </x:c>
      <x:c r="F33" s="7" t="n">
        <x:f>IF(ISNUMBER('原数'!C6),'原数'!C6,"缺失")</x:f>
        <x:v>39312.53</x:v>
      </x:c>
      <x:c r="G33" s="7" t="n">
        <x:f>IF(ISNUMBER('原数'!D9),'原数'!D9,"缺失")</x:f>
        <x:v>34562.46</x:v>
      </x:c>
      <x:c r="H33" s="1" t="n">
        <x:f>IF(AND(ISNUMBER(F33),ISNUMBER(G33)),1,0)</x:f>
        <x:v>1</x:v>
      </x:c>
      <x:c r="I33" s="1"/>
      <x:c r="J33" s="1"/>
      <x:c r="K33" s="1"/>
      <x:c r="L33" s="1"/>
      <x:c r="M33" s="1"/>
      <x:c r="N33" s="1"/>
    </x:row>
    <x:row r="34" ht="22" customHeight="1">
      <x:c r="B34" s="1" t="str">
        <x:v>茅台酒</x:v>
      </x:c>
      <x:c r="C34" s="1" t="n">
        <x:v>3</x:v>
      </x:c>
      <x:c r="D34" s="1" t="n">
        <x:f>'原数'!B7</x:f>
        <x:v>2017</x:v>
      </x:c>
      <x:c r="E34" s="1" t="n">
        <x:f>'原数'!B10</x:f>
        <x:v>2020</x:v>
      </x:c>
      <x:c r="F34" s="7" t="n">
        <x:f>IF(ISNUMBER('原数'!C7),'原数'!C7,"缺失")</x:f>
        <x:v>42828.59</x:v>
      </x:c>
      <x:c r="G34" s="7" t="n">
        <x:f>IF(ISNUMBER('原数'!D10),'原数'!D10,"缺失")</x:f>
        <x:v>34312.53</x:v>
      </x:c>
      <x:c r="H34" s="1" t="n">
        <x:f>IF(AND(ISNUMBER(F34),ISNUMBER(G34)),1,0)</x:f>
        <x:v>1</x:v>
      </x:c>
      <x:c r="I34" s="1"/>
      <x:c r="J34" s="1"/>
      <x:c r="K34" s="1"/>
      <x:c r="L34" s="1"/>
      <x:c r="M34" s="1"/>
      <x:c r="N34" s="1"/>
    </x:row>
    <x:row r="35" ht="22" customHeight="1">
      <x:c r="B35" s="1" t="str">
        <x:v>茅台酒</x:v>
      </x:c>
      <x:c r="C35" s="1" t="n">
        <x:v>3</x:v>
      </x:c>
      <x:c r="D35" s="1" t="n">
        <x:f>'原数'!B8</x:f>
        <x:v>2018</x:v>
      </x:c>
      <x:c r="E35" s="1" t="n">
        <x:f>'原数'!B11</x:f>
        <x:v>2021</x:v>
      </x:c>
      <x:c r="F35" s="7" t="n">
        <x:f>IF(ISNUMBER('原数'!C8),'原数'!C8,"缺失")</x:f>
        <x:v>49671.69</x:v>
      </x:c>
      <x:c r="G35" s="7" t="n">
        <x:f>IF(ISNUMBER('原数'!D11),'原数'!D11,"缺失")</x:f>
        <x:v>36261.31</x:v>
      </x:c>
      <x:c r="H35" s="1" t="n">
        <x:f>IF(AND(ISNUMBER(F35),ISNUMBER(G35)),1,0)</x:f>
        <x:v>1</x:v>
      </x:c>
      <x:c r="I35" s="1"/>
      <x:c r="J35" s="1"/>
      <x:c r="K35" s="1"/>
      <x:c r="L35" s="1"/>
      <x:c r="M35" s="1"/>
      <x:c r="N35" s="1"/>
    </x:row>
    <x:row r="36" ht="22" customHeight="1">
      <x:c r="B36" s="1" t="str">
        <x:v>茅台酒</x:v>
      </x:c>
      <x:c r="C36" s="1" t="n">
        <x:v>3</x:v>
      </x:c>
      <x:c r="D36" s="1" t="n">
        <x:f>'原数'!B9</x:f>
        <x:v>2019</x:v>
      </x:c>
      <x:c r="E36" s="1" t="n">
        <x:f>'原数'!B12</x:f>
        <x:v>2022</x:v>
      </x:c>
      <x:c r="F36" s="7" t="n">
        <x:f>IF(ISNUMBER('原数'!C9),'原数'!C9,"缺失")</x:f>
        <x:v>49922.71</x:v>
      </x:c>
      <x:c r="G36" s="7" t="n">
        <x:f>IF(ISNUMBER('原数'!D12),'原数'!D12,"缺失")</x:f>
        <x:v>37901.39</x:v>
      </x:c>
      <x:c r="H36" s="1" t="n">
        <x:f>IF(AND(ISNUMBER(F36),ISNUMBER(G36)),1,0)</x:f>
        <x:v>1</x:v>
      </x:c>
      <x:c r="I36" s="1"/>
      <x:c r="J36" s="1"/>
      <x:c r="K36" s="1"/>
      <x:c r="L36" s="1"/>
      <x:c r="M36" s="1"/>
      <x:c r="N36" s="1"/>
    </x:row>
    <x:row r="37" ht="22" customHeight="1">
      <x:c r="B37" s="1" t="str">
        <x:v>茅台酒</x:v>
      </x:c>
      <x:c r="C37" s="1" t="n">
        <x:v>3</x:v>
      </x:c>
      <x:c r="D37" s="1" t="n">
        <x:f>'原数'!B10</x:f>
        <x:v>2020</x:v>
      </x:c>
      <x:c r="E37" s="1" t="n">
        <x:f>'原数'!B13</x:f>
        <x:v>2023</x:v>
      </x:c>
      <x:c r="F37" s="7" t="n">
        <x:f>IF(ISNUMBER('原数'!C10),'原数'!C10,"缺失")</x:f>
        <x:v>50235.17</x:v>
      </x:c>
      <x:c r="G37" s="7" t="n">
        <x:f>IF(ISNUMBER('原数'!D13),'原数'!D13,"缺失")</x:f>
        <x:v>42109.5</x:v>
      </x:c>
      <x:c r="H37" s="1" t="n">
        <x:f>IF(AND(ISNUMBER(F37),ISNUMBER(G37)),1,0)</x:f>
        <x:v>1</x:v>
      </x:c>
      <x:c r="I37" s="1"/>
      <x:c r="J37" s="1"/>
      <x:c r="K37" s="1"/>
      <x:c r="L37" s="1"/>
      <x:c r="M37" s="1"/>
      <x:c r="N37" s="1"/>
    </x:row>
    <x:row r="38" ht="22" customHeight="1">
      <x:c r="B38" s="1" t="str">
        <x:v>茅台酒</x:v>
      </x:c>
      <x:c r="C38" s="1" t="n">
        <x:v>3</x:v>
      </x:c>
      <x:c r="D38" s="1" t="n">
        <x:f>'原数'!B11</x:f>
        <x:v>2021</x:v>
      </x:c>
      <x:c r="E38" s="1" t="n">
        <x:f>'原数'!B14</x:f>
        <x:v>2024</x:v>
      </x:c>
      <x:c r="F38" s="7" t="n">
        <x:f>IF(ISNUMBER('原数'!C11),'原数'!C11,"缺失")</x:f>
        <x:v>56472.25</x:v>
      </x:c>
      <x:c r="G38" s="7" t="n">
        <x:f>IF(ISNUMBER('原数'!D14),'原数'!D14,"缺失")</x:f>
        <x:v>46412.95</x:v>
      </x:c>
      <x:c r="H38" s="1" t="n">
        <x:f>IF(AND(ISNUMBER(F38),ISNUMBER(G38)),1,0)</x:f>
        <x:v>1</x:v>
      </x:c>
      <x:c r="I38" s="1"/>
      <x:c r="J38" s="1"/>
      <x:c r="K38" s="1"/>
      <x:c r="L38" s="1"/>
      <x:c r="M38" s="1"/>
      <x:c r="N38" s="1"/>
    </x:row>
    <x:row r="39" ht="22" customHeight="1">
      <x:c r="B39" s="1" t="str">
        <x:v>茅台酒</x:v>
      </x:c>
      <x:c r="C39" s="1" t="n">
        <x:v>3</x:v>
      </x:c>
      <x:c r="D39" s="1" t="n">
        <x:f>'原数'!B12</x:f>
        <x:v>2022</x:v>
      </x:c>
      <x:c r="E39" s="1" t="n">
        <x:f>'原数'!B15</x:f>
        <x:v>2025</x:v>
      </x:c>
      <x:c r="F39" s="7" t="n">
        <x:f>IF(ISNUMBER('原数'!C12),'原数'!C12,"缺失")</x:f>
        <x:v>56810.44</x:v>
      </x:c>
      <x:c r="G39" s="7" t="n">
        <x:f>IF(ISNUMBER('原数'!D15),'原数'!D15,"缺失")</x:f>
        <x:v>46750.66</x:v>
      </x:c>
      <x:c r="H39" s="1" t="n">
        <x:f>IF(AND(ISNUMBER(F39),ISNUMBER(G39)),1,0)</x:f>
        <x:v>1</x:v>
      </x:c>
      <x:c r="I39" s="1"/>
      <x:c r="J39" s="1"/>
      <x:c r="K39" s="1"/>
      <x:c r="L39" s="1"/>
      <x:c r="M39" s="1"/>
      <x:c r="N39" s="1"/>
    </x:row>
    <x:row r="40" ht="22" customHeight="1">
      <x:c r="B40" s="1" t="str">
        <x:v>茅台酒</x:v>
      </x:c>
      <x:c r="C40" s="1" t="n">
        <x:v>4</x:v>
      </x:c>
      <x:c r="D40" s="1" t="n">
        <x:f>'原数'!B6</x:f>
        <x:v>2016</x:v>
      </x:c>
      <x:c r="E40" s="1" t="n">
        <x:f>'原数'!B10</x:f>
        <x:v>2020</x:v>
      </x:c>
      <x:c r="F40" s="7" t="n">
        <x:f>IF(ISNUMBER('原数'!C6),'原数'!C6,"缺失")</x:f>
        <x:v>39312.53</x:v>
      </x:c>
      <x:c r="G40" s="7" t="n">
        <x:f>IF(ISNUMBER('原数'!D10),'原数'!D10,"缺失")</x:f>
        <x:v>34312.53</x:v>
      </x:c>
      <x:c r="H40" s="1" t="n">
        <x:f>IF(AND(ISNUMBER(F40),ISNUMBER(G40)),1,0)</x:f>
        <x:v>1</x:v>
      </x:c>
      <x:c r="I40" s="1"/>
      <x:c r="J40" s="1"/>
      <x:c r="K40" s="1"/>
      <x:c r="L40" s="1"/>
      <x:c r="M40" s="1"/>
      <x:c r="N40" s="1"/>
    </x:row>
    <x:row r="41" ht="22" customHeight="1">
      <x:c r="B41" s="1" t="str">
        <x:v>茅台酒</x:v>
      </x:c>
      <x:c r="C41" s="1" t="n">
        <x:v>4</x:v>
      </x:c>
      <x:c r="D41" s="1" t="n">
        <x:f>'原数'!B7</x:f>
        <x:v>2017</x:v>
      </x:c>
      <x:c r="E41" s="1" t="n">
        <x:f>'原数'!B11</x:f>
        <x:v>2021</x:v>
      </x:c>
      <x:c r="F41" s="7" t="n">
        <x:f>IF(ISNUMBER('原数'!C7),'原数'!C7,"缺失")</x:f>
        <x:v>42828.59</x:v>
      </x:c>
      <x:c r="G41" s="7" t="n">
        <x:f>IF(ISNUMBER('原数'!D11),'原数'!D11,"缺失")</x:f>
        <x:v>36261.31</x:v>
      </x:c>
      <x:c r="H41" s="1" t="n">
        <x:f>IF(AND(ISNUMBER(F41),ISNUMBER(G41)),1,0)</x:f>
        <x:v>1</x:v>
      </x:c>
      <x:c r="I41" s="1"/>
      <x:c r="J41" s="1"/>
      <x:c r="K41" s="1"/>
      <x:c r="L41" s="1"/>
      <x:c r="M41" s="1"/>
      <x:c r="N41" s="1"/>
    </x:row>
    <x:row r="42" ht="22" customHeight="1">
      <x:c r="B42" s="1" t="str">
        <x:v>茅台酒</x:v>
      </x:c>
      <x:c r="C42" s="1" t="n">
        <x:v>4</x:v>
      </x:c>
      <x:c r="D42" s="1" t="n">
        <x:f>'原数'!B8</x:f>
        <x:v>2018</x:v>
      </x:c>
      <x:c r="E42" s="1" t="n">
        <x:f>'原数'!B12</x:f>
        <x:v>2022</x:v>
      </x:c>
      <x:c r="F42" s="7" t="n">
        <x:f>IF(ISNUMBER('原数'!C8),'原数'!C8,"缺失")</x:f>
        <x:v>49671.69</x:v>
      </x:c>
      <x:c r="G42" s="7" t="n">
        <x:f>IF(ISNUMBER('原数'!D12),'原数'!D12,"缺失")</x:f>
        <x:v>37901.39</x:v>
      </x:c>
      <x:c r="H42" s="1" t="n">
        <x:f>IF(AND(ISNUMBER(F42),ISNUMBER(G42)),1,0)</x:f>
        <x:v>1</x:v>
      </x:c>
      <x:c r="I42" s="1"/>
      <x:c r="J42" s="1"/>
      <x:c r="K42" s="1"/>
      <x:c r="L42" s="1"/>
      <x:c r="M42" s="1"/>
      <x:c r="N42" s="1"/>
    </x:row>
    <x:row r="43" ht="22" customHeight="1">
      <x:c r="B43" s="1" t="str">
        <x:v>茅台酒</x:v>
      </x:c>
      <x:c r="C43" s="1" t="n">
        <x:v>4</x:v>
      </x:c>
      <x:c r="D43" s="1" t="n">
        <x:f>'原数'!B9</x:f>
        <x:v>2019</x:v>
      </x:c>
      <x:c r="E43" s="1" t="n">
        <x:f>'原数'!B13</x:f>
        <x:v>2023</x:v>
      </x:c>
      <x:c r="F43" s="7" t="n">
        <x:f>IF(ISNUMBER('原数'!C9),'原数'!C9,"缺失")</x:f>
        <x:v>49922.71</x:v>
      </x:c>
      <x:c r="G43" s="7" t="n">
        <x:f>IF(ISNUMBER('原数'!D13),'原数'!D13,"缺失")</x:f>
        <x:v>42109.5</x:v>
      </x:c>
      <x:c r="H43" s="1" t="n">
        <x:f>IF(AND(ISNUMBER(F43),ISNUMBER(G43)),1,0)</x:f>
        <x:v>1</x:v>
      </x:c>
      <x:c r="I43" s="1"/>
      <x:c r="J43" s="1"/>
      <x:c r="K43" s="1"/>
      <x:c r="L43" s="1"/>
      <x:c r="M43" s="1"/>
      <x:c r="N43" s="1"/>
    </x:row>
    <x:row r="44" ht="22" customHeight="1">
      <x:c r="B44" s="1" t="str">
        <x:v>茅台酒</x:v>
      </x:c>
      <x:c r="C44" s="1" t="n">
        <x:v>4</x:v>
      </x:c>
      <x:c r="D44" s="1" t="n">
        <x:f>'原数'!B10</x:f>
        <x:v>2020</x:v>
      </x:c>
      <x:c r="E44" s="1" t="n">
        <x:f>'原数'!B14</x:f>
        <x:v>2024</x:v>
      </x:c>
      <x:c r="F44" s="7" t="n">
        <x:f>IF(ISNUMBER('原数'!C10),'原数'!C10,"缺失")</x:f>
        <x:v>50235.17</x:v>
      </x:c>
      <x:c r="G44" s="7" t="n">
        <x:f>IF(ISNUMBER('原数'!D14),'原数'!D14,"缺失")</x:f>
        <x:v>46412.95</x:v>
      </x:c>
      <x:c r="H44" s="1" t="n">
        <x:f>IF(AND(ISNUMBER(F44),ISNUMBER(G44)),1,0)</x:f>
        <x:v>1</x:v>
      </x:c>
      <x:c r="I44" s="1"/>
      <x:c r="J44" s="1"/>
      <x:c r="K44" s="1"/>
      <x:c r="L44" s="1"/>
      <x:c r="M44" s="1"/>
      <x:c r="N44" s="1"/>
    </x:row>
    <x:row r="45" ht="22" customHeight="1">
      <x:c r="B45" s="1" t="str">
        <x:v>茅台酒</x:v>
      </x:c>
      <x:c r="C45" s="1" t="n">
        <x:v>4</x:v>
      </x:c>
      <x:c r="D45" s="1" t="n">
        <x:f>'原数'!B11</x:f>
        <x:v>2021</x:v>
      </x:c>
      <x:c r="E45" s="1" t="n">
        <x:f>'原数'!B15</x:f>
        <x:v>2025</x:v>
      </x:c>
      <x:c r="F45" s="7" t="n">
        <x:f>IF(ISNUMBER('原数'!C11),'原数'!C11,"缺失")</x:f>
        <x:v>56472.25</x:v>
      </x:c>
      <x:c r="G45" s="7" t="n">
        <x:f>IF(ISNUMBER('原数'!D15),'原数'!D15,"缺失")</x:f>
        <x:v>46750.66</x:v>
      </x:c>
      <x:c r="H45" s="1" t="n">
        <x:f>IF(AND(ISNUMBER(F45),ISNUMBER(G45)),1,0)</x:f>
        <x:v>1</x:v>
      </x:c>
      <x:c r="I45" s="1"/>
      <x:c r="J45" s="1"/>
      <x:c r="K45" s="1"/>
      <x:c r="L45" s="1"/>
      <x:c r="M45" s="1"/>
      <x:c r="N45" s="1"/>
    </x:row>
    <x:row r="46" ht="22" customHeight="1">
      <x:c r="B46" s="1" t="str">
        <x:v>茅台酒</x:v>
      </x:c>
      <x:c r="C46" s="1" t="n">
        <x:v>5</x:v>
      </x:c>
      <x:c r="D46" s="1" t="n">
        <x:f>'原数'!B6</x:f>
        <x:v>2016</x:v>
      </x:c>
      <x:c r="E46" s="1" t="n">
        <x:f>'原数'!B11</x:f>
        <x:v>2021</x:v>
      </x:c>
      <x:c r="F46" s="7" t="n">
        <x:f>IF(ISNUMBER('原数'!C6),'原数'!C6,"缺失")</x:f>
        <x:v>39312.53</x:v>
      </x:c>
      <x:c r="G46" s="7" t="n">
        <x:f>IF(ISNUMBER('原数'!D11),'原数'!D11,"缺失")</x:f>
        <x:v>36261.31</x:v>
      </x:c>
      <x:c r="H46" s="1" t="n">
        <x:f>IF(AND(ISNUMBER(F46),ISNUMBER(G46)),1,0)</x:f>
        <x:v>1</x:v>
      </x:c>
      <x:c r="I46" s="1"/>
      <x:c r="J46" s="1"/>
      <x:c r="K46" s="1"/>
      <x:c r="L46" s="1"/>
      <x:c r="M46" s="1"/>
      <x:c r="N46" s="1"/>
    </x:row>
    <x:row r="47" ht="22" customHeight="1">
      <x:c r="B47" s="1" t="str">
        <x:v>茅台酒</x:v>
      </x:c>
      <x:c r="C47" s="1" t="n">
        <x:v>5</x:v>
      </x:c>
      <x:c r="D47" s="1" t="n">
        <x:f>'原数'!B7</x:f>
        <x:v>2017</x:v>
      </x:c>
      <x:c r="E47" s="1" t="n">
        <x:f>'原数'!B12</x:f>
        <x:v>2022</x:v>
      </x:c>
      <x:c r="F47" s="7" t="n">
        <x:f>IF(ISNUMBER('原数'!C7),'原数'!C7,"缺失")</x:f>
        <x:v>42828.59</x:v>
      </x:c>
      <x:c r="G47" s="7" t="n">
        <x:f>IF(ISNUMBER('原数'!D12),'原数'!D12,"缺失")</x:f>
        <x:v>37901.39</x:v>
      </x:c>
      <x:c r="H47" s="1" t="n">
        <x:f>IF(AND(ISNUMBER(F47),ISNUMBER(G47)),1,0)</x:f>
        <x:v>1</x:v>
      </x:c>
      <x:c r="I47" s="1"/>
      <x:c r="J47" s="1"/>
      <x:c r="K47" s="1"/>
      <x:c r="L47" s="1"/>
      <x:c r="M47" s="1"/>
      <x:c r="N47" s="1"/>
    </x:row>
    <x:row r="48" ht="22" customHeight="1">
      <x:c r="B48" s="1" t="str">
        <x:v>茅台酒</x:v>
      </x:c>
      <x:c r="C48" s="1" t="n">
        <x:v>5</x:v>
      </x:c>
      <x:c r="D48" s="1" t="n">
        <x:f>'原数'!B8</x:f>
        <x:v>2018</x:v>
      </x:c>
      <x:c r="E48" s="1" t="n">
        <x:f>'原数'!B13</x:f>
        <x:v>2023</x:v>
      </x:c>
      <x:c r="F48" s="7" t="n">
        <x:f>IF(ISNUMBER('原数'!C8),'原数'!C8,"缺失")</x:f>
        <x:v>49671.69</x:v>
      </x:c>
      <x:c r="G48" s="7" t="n">
        <x:f>IF(ISNUMBER('原数'!D13),'原数'!D13,"缺失")</x:f>
        <x:v>42109.5</x:v>
      </x:c>
      <x:c r="H48" s="1" t="n">
        <x:f>IF(AND(ISNUMBER(F48),ISNUMBER(G48)),1,0)</x:f>
        <x:v>1</x:v>
      </x:c>
      <x:c r="I48" s="1"/>
      <x:c r="J48" s="1"/>
      <x:c r="K48" s="1"/>
      <x:c r="L48" s="1"/>
      <x:c r="M48" s="1"/>
      <x:c r="N48" s="1"/>
    </x:row>
    <x:row r="49" ht="22" customHeight="1">
      <x:c r="B49" s="1" t="str">
        <x:v>茅台酒</x:v>
      </x:c>
      <x:c r="C49" s="1" t="n">
        <x:v>5</x:v>
      </x:c>
      <x:c r="D49" s="1" t="n">
        <x:f>'原数'!B9</x:f>
        <x:v>2019</x:v>
      </x:c>
      <x:c r="E49" s="1" t="n">
        <x:f>'原数'!B14</x:f>
        <x:v>2024</x:v>
      </x:c>
      <x:c r="F49" s="7" t="n">
        <x:f>IF(ISNUMBER('原数'!C9),'原数'!C9,"缺失")</x:f>
        <x:v>49922.71</x:v>
      </x:c>
      <x:c r="G49" s="7" t="n">
        <x:f>IF(ISNUMBER('原数'!D14),'原数'!D14,"缺失")</x:f>
        <x:v>46412.95</x:v>
      </x:c>
      <x:c r="H49" s="1" t="n">
        <x:f>IF(AND(ISNUMBER(F49),ISNUMBER(G49)),1,0)</x:f>
        <x:v>1</x:v>
      </x:c>
      <x:c r="I49" s="1"/>
      <x:c r="J49" s="1"/>
      <x:c r="K49" s="1"/>
      <x:c r="L49" s="1"/>
      <x:c r="M49" s="1"/>
      <x:c r="N49" s="1"/>
    </x:row>
    <x:row r="50" ht="22" customHeight="1">
      <x:c r="B50" s="1" t="str">
        <x:v>茅台酒</x:v>
      </x:c>
      <x:c r="C50" s="1" t="n">
        <x:v>5</x:v>
      </x:c>
      <x:c r="D50" s="1" t="n">
        <x:f>'原数'!B10</x:f>
        <x:v>2020</x:v>
      </x:c>
      <x:c r="E50" s="1" t="n">
        <x:f>'原数'!B15</x:f>
        <x:v>2025</x:v>
      </x:c>
      <x:c r="F50" s="7" t="n">
        <x:f>IF(ISNUMBER('原数'!C10),'原数'!C10,"缺失")</x:f>
        <x:v>50235.17</x:v>
      </x:c>
      <x:c r="G50" s="7" t="n">
        <x:f>IF(ISNUMBER('原数'!D15),'原数'!D15,"缺失")</x:f>
        <x:v>46750.66</x:v>
      </x:c>
      <x:c r="H50" s="1" t="n">
        <x:f>IF(AND(ISNUMBER(F50),ISNUMBER(G50)),1,0)</x:f>
        <x:v>1</x:v>
      </x:c>
    </x:row>
    <x:row r="51" ht="22" customHeight="1">
      <x:c r="B51" s="1" t="str">
        <x:v>茅台酒</x:v>
      </x:c>
      <x:c r="C51" s="1" t="n">
        <x:v>6</x:v>
      </x:c>
      <x:c r="D51" s="1" t="n">
        <x:f>'原数'!B6</x:f>
        <x:v>2016</x:v>
      </x:c>
      <x:c r="E51" s="1" t="n">
        <x:f>'原数'!B12</x:f>
        <x:v>2022</x:v>
      </x:c>
      <x:c r="F51" s="7" t="n">
        <x:f>IF(ISNUMBER('原数'!C6),'原数'!C6,"缺失")</x:f>
        <x:v>39312.53</x:v>
      </x:c>
      <x:c r="G51" s="7" t="n">
        <x:f>IF(ISNUMBER('原数'!D12),'原数'!D12,"缺失")</x:f>
        <x:v>37901.39</x:v>
      </x:c>
      <x:c r="H51" s="1" t="n">
        <x:f>IF(AND(ISNUMBER(F51),ISNUMBER(G51)),1,0)</x:f>
        <x:v>1</x:v>
      </x:c>
    </x:row>
    <x:row r="52" ht="22" customHeight="1">
      <x:c r="B52" s="1" t="str">
        <x:v>茅台酒</x:v>
      </x:c>
      <x:c r="C52" s="1" t="n">
        <x:v>6</x:v>
      </x:c>
      <x:c r="D52" s="1" t="n">
        <x:f>'原数'!B7</x:f>
        <x:v>2017</x:v>
      </x:c>
      <x:c r="E52" s="1" t="n">
        <x:f>'原数'!B13</x:f>
        <x:v>2023</x:v>
      </x:c>
      <x:c r="F52" s="7" t="n">
        <x:f>IF(ISNUMBER('原数'!C7),'原数'!C7,"缺失")</x:f>
        <x:v>42828.59</x:v>
      </x:c>
      <x:c r="G52" s="7" t="n">
        <x:f>IF(ISNUMBER('原数'!D13),'原数'!D13,"缺失")</x:f>
        <x:v>42109.5</x:v>
      </x:c>
      <x:c r="H52" s="1" t="n">
        <x:f>IF(AND(ISNUMBER(F52),ISNUMBER(G52)),1,0)</x:f>
        <x:v>1</x:v>
      </x:c>
    </x:row>
    <x:row r="53" ht="22" customHeight="1">
      <x:c r="B53" s="1" t="str">
        <x:v>茅台酒</x:v>
      </x:c>
      <x:c r="C53" s="1" t="n">
        <x:v>6</x:v>
      </x:c>
      <x:c r="D53" s="1" t="n">
        <x:f>'原数'!B8</x:f>
        <x:v>2018</x:v>
      </x:c>
      <x:c r="E53" s="1" t="n">
        <x:f>'原数'!B14</x:f>
        <x:v>2024</x:v>
      </x:c>
      <x:c r="F53" s="7" t="n">
        <x:f>IF(ISNUMBER('原数'!C8),'原数'!C8,"缺失")</x:f>
        <x:v>49671.69</x:v>
      </x:c>
      <x:c r="G53" s="7" t="n">
        <x:f>IF(ISNUMBER('原数'!D14),'原数'!D14,"缺失")</x:f>
        <x:v>46412.95</x:v>
      </x:c>
      <x:c r="H53" s="1" t="n">
        <x:f>IF(AND(ISNUMBER(F53),ISNUMBER(G53)),1,0)</x:f>
        <x:v>1</x:v>
      </x:c>
    </x:row>
    <x:row r="54" ht="22" customHeight="1">
      <x:c r="B54" s="1" t="str">
        <x:v>茅台酒</x:v>
      </x:c>
      <x:c r="C54" s="1" t="n">
        <x:v>6</x:v>
      </x:c>
      <x:c r="D54" s="1" t="n">
        <x:f>'原数'!B9</x:f>
        <x:v>2019</x:v>
      </x:c>
      <x:c r="E54" s="1" t="n">
        <x:f>'原数'!B15</x:f>
        <x:v>2025</x:v>
      </x:c>
      <x:c r="F54" s="7" t="n">
        <x:f>IF(ISNUMBER('原数'!C9),'原数'!C9,"缺失")</x:f>
        <x:v>49922.71</x:v>
      </x:c>
      <x:c r="G54" s="7" t="n">
        <x:f>IF(ISNUMBER('原数'!D15),'原数'!D15,"缺失")</x:f>
        <x:v>46750.66</x:v>
      </x:c>
      <x:c r="H54" s="1" t="n">
        <x:f>IF(AND(ISNUMBER(F54),ISNUMBER(G54)),1,0)</x:f>
        <x:v>1</x:v>
      </x:c>
    </x:row>
    <x:row r="55" ht="22" customHeight="1">
      <x:c r="B55" s="1" t="str">
        <x:v>茅台酒</x:v>
      </x:c>
      <x:c r="C55" s="1" t="n">
        <x:v>7</x:v>
      </x:c>
      <x:c r="D55" s="1" t="n">
        <x:f>'原数'!B6</x:f>
        <x:v>2016</x:v>
      </x:c>
      <x:c r="E55" s="1" t="n">
        <x:f>'原数'!B13</x:f>
        <x:v>2023</x:v>
      </x:c>
      <x:c r="F55" s="7" t="n">
        <x:f>IF(ISNUMBER('原数'!C6),'原数'!C6,"缺失")</x:f>
        <x:v>39312.53</x:v>
      </x:c>
      <x:c r="G55" s="7" t="n">
        <x:f>IF(ISNUMBER('原数'!D13),'原数'!D13,"缺失")</x:f>
        <x:v>42109.5</x:v>
      </x:c>
      <x:c r="H55" s="1" t="n">
        <x:f>IF(AND(ISNUMBER(F55),ISNUMBER(G55)),1,0)</x:f>
        <x:v>1</x:v>
      </x:c>
    </x:row>
    <x:row r="56" ht="22" customHeight="1">
      <x:c r="B56" s="1" t="str">
        <x:v>茅台酒</x:v>
      </x:c>
      <x:c r="C56" s="1" t="n">
        <x:v>7</x:v>
      </x:c>
      <x:c r="D56" s="1" t="n">
        <x:f>'原数'!B7</x:f>
        <x:v>2017</x:v>
      </x:c>
      <x:c r="E56" s="1" t="n">
        <x:f>'原数'!B14</x:f>
        <x:v>2024</x:v>
      </x:c>
      <x:c r="F56" s="7" t="n">
        <x:f>IF(ISNUMBER('原数'!C7),'原数'!C7,"缺失")</x:f>
        <x:v>42828.59</x:v>
      </x:c>
      <x:c r="G56" s="7" t="n">
        <x:f>IF(ISNUMBER('原数'!D14),'原数'!D14,"缺失")</x:f>
        <x:v>46412.95</x:v>
      </x:c>
      <x:c r="H56" s="1" t="n">
        <x:f>IF(AND(ISNUMBER(F56),ISNUMBER(G56)),1,0)</x:f>
        <x:v>1</x:v>
      </x:c>
    </x:row>
    <x:row r="57" ht="22" customHeight="1">
      <x:c r="B57" s="1" t="str">
        <x:v>茅台酒</x:v>
      </x:c>
      <x:c r="C57" s="1" t="n">
        <x:v>7</x:v>
      </x:c>
      <x:c r="D57" s="1" t="n">
        <x:f>'原数'!B8</x:f>
        <x:v>2018</x:v>
      </x:c>
      <x:c r="E57" s="1" t="n">
        <x:f>'原数'!B15</x:f>
        <x:v>2025</x:v>
      </x:c>
      <x:c r="F57" s="7" t="n">
        <x:f>IF(ISNUMBER('原数'!C8),'原数'!C8,"缺失")</x:f>
        <x:v>49671.69</x:v>
      </x:c>
      <x:c r="G57" s="7" t="n">
        <x:f>IF(ISNUMBER('原数'!D15),'原数'!D15,"缺失")</x:f>
        <x:v>46750.66</x:v>
      </x:c>
      <x:c r="H57" s="1" t="n">
        <x:f>IF(AND(ISNUMBER(F57),ISNUMBER(G57)),1,0)</x:f>
        <x:v>1</x:v>
      </x:c>
    </x:row>
    <x:row r="58" ht="22" customHeight="1">
      <x:c r="B58" s="1" t="str">
        <x:v>其他系列酒</x:v>
      </x:c>
      <x:c r="C58" s="1" t="n">
        <x:v>0</x:v>
      </x:c>
      <x:c r="D58" s="1" t="n">
        <x:f>'原数'!B6</x:f>
        <x:v>2016</x:v>
      </x:c>
      <x:c r="E58" s="1" t="n">
        <x:f>'原数'!B6</x:f>
        <x:v>2016</x:v>
      </x:c>
      <x:c r="F58" s="7" t="n">
        <x:f>IF(ISNUMBER('原数'!E6),'原数'!E6,"缺失")</x:f>
        <x:v>20575.44</x:v>
      </x:c>
      <x:c r="G58" s="7" t="n">
        <x:f>IF(ISNUMBER('原数'!F6),'原数'!F6,"缺失")</x:f>
        <x:v>14026.7</x:v>
      </x:c>
      <x:c r="H58" s="1" t="n">
        <x:f>IF(AND(ISNUMBER(F58),ISNUMBER(G58)),1,0)</x:f>
        <x:v>1</x:v>
      </x:c>
    </x:row>
    <x:row r="59" ht="22" customHeight="1">
      <x:c r="B59" s="1" t="str">
        <x:v>其他系列酒</x:v>
      </x:c>
      <x:c r="C59" s="1" t="n">
        <x:v>0</x:v>
      </x:c>
      <x:c r="D59" s="1" t="n">
        <x:f>'原数'!B7</x:f>
        <x:v>2017</x:v>
      </x:c>
      <x:c r="E59" s="1" t="n">
        <x:f>'原数'!B7</x:f>
        <x:v>2017</x:v>
      </x:c>
      <x:c r="F59" s="7" t="n">
        <x:f>IF(ISNUMBER('原数'!E7),'原数'!E7,"缺失")</x:f>
        <x:v>20959.02</x:v>
      </x:c>
      <x:c r="G59" s="7" t="n">
        <x:f>IF(ISNUMBER('原数'!F7),'原数'!F7,"缺失")</x:f>
        <x:v>29902.84</x:v>
      </x:c>
      <x:c r="H59" s="1" t="n">
        <x:f>IF(AND(ISNUMBER(F59),ISNUMBER(G59)),1,0)</x:f>
        <x:v>1</x:v>
      </x:c>
    </x:row>
    <x:row r="60" ht="22" customHeight="1">
      <x:c r="B60" s="1" t="str">
        <x:v>其他系列酒</x:v>
      </x:c>
      <x:c r="C60" s="1" t="n">
        <x:v>0</x:v>
      </x:c>
      <x:c r="D60" s="1" t="n">
        <x:f>'原数'!B8</x:f>
        <x:v>2018</x:v>
      </x:c>
      <x:c r="E60" s="1" t="n">
        <x:f>'原数'!B8</x:f>
        <x:v>2018</x:v>
      </x:c>
      <x:c r="F60" s="7" t="n">
        <x:f>IF(ISNUMBER('原数'!E8),'原数'!E8,"缺失")</x:f>
        <x:v>20545.06</x:v>
      </x:c>
      <x:c r="G60" s="7" t="n">
        <x:f>IF(ISNUMBER('原数'!F8),'原数'!F8,"缺失")</x:f>
        <x:v>29774.46</x:v>
      </x:c>
      <x:c r="H60" s="1" t="n">
        <x:f>IF(AND(ISNUMBER(F60),ISNUMBER(G60)),1,0)</x:f>
        <x:v>1</x:v>
      </x:c>
    </x:row>
    <x:row r="61" ht="22" customHeight="1">
      <x:c r="B61" s="1" t="str">
        <x:v>其他系列酒</x:v>
      </x:c>
      <x:c r="C61" s="1" t="n">
        <x:v>0</x:v>
      </x:c>
      <x:c r="D61" s="1" t="n">
        <x:f>'原数'!B9</x:f>
        <x:v>2019</x:v>
      </x:c>
      <x:c r="E61" s="1" t="n">
        <x:f>'原数'!B9</x:f>
        <x:v>2019</x:v>
      </x:c>
      <x:c r="F61" s="7" t="n">
        <x:f>IF(ISNUMBER('原数'!E9),'原数'!E9,"缺失")</x:f>
        <x:v>25122.02</x:v>
      </x:c>
      <x:c r="G61" s="7" t="n">
        <x:f>IF(ISNUMBER('原数'!F9),'原数'!F9,"缺失")</x:f>
        <x:v>30082.84</x:v>
      </x:c>
      <x:c r="H61" s="1" t="n">
        <x:f>IF(AND(ISNUMBER(F61),ISNUMBER(G61)),1,0)</x:f>
        <x:v>1</x:v>
      </x:c>
    </x:row>
    <x:row r="62" ht="22" customHeight="1">
      <x:c r="B62" s="1" t="str">
        <x:v>其他系列酒</x:v>
      </x:c>
      <x:c r="C62" s="1" t="n">
        <x:v>0</x:v>
      </x:c>
      <x:c r="D62" s="1" t="n">
        <x:f>'原数'!B10</x:f>
        <x:v>2020</x:v>
      </x:c>
      <x:c r="E62" s="1" t="n">
        <x:f>'原数'!B10</x:f>
        <x:v>2020</x:v>
      </x:c>
      <x:c r="F62" s="7" t="n">
        <x:f>IF(ISNUMBER('原数'!E10),'原数'!E10,"缺失")</x:f>
        <x:v>24925.37</x:v>
      </x:c>
      <x:c r="G62" s="7" t="n">
        <x:f>IF(ISNUMBER('原数'!F10),'原数'!F10,"缺失")</x:f>
        <x:v>29743.35</x:v>
      </x:c>
      <x:c r="H62" s="1" t="n">
        <x:f>IF(AND(ISNUMBER(F62),ISNUMBER(G62)),1,0)</x:f>
        <x:v>1</x:v>
      </x:c>
    </x:row>
    <x:row r="63" ht="22" customHeight="1">
      <x:c r="B63" s="1" t="str">
        <x:v>其他系列酒</x:v>
      </x:c>
      <x:c r="C63" s="1" t="n">
        <x:v>0</x:v>
      </x:c>
      <x:c r="D63" s="1" t="n">
        <x:f>'原数'!B11</x:f>
        <x:v>2021</x:v>
      </x:c>
      <x:c r="E63" s="1" t="n">
        <x:f>'原数'!B11</x:f>
        <x:v>2021</x:v>
      </x:c>
      <x:c r="F63" s="7" t="n">
        <x:f>IF(ISNUMBER('原数'!E11),'原数'!E11,"缺失")</x:f>
        <x:v>28248.92</x:v>
      </x:c>
      <x:c r="G63" s="7" t="n">
        <x:f>IF(ISNUMBER('原数'!F11),'原数'!F11,"缺失")</x:f>
        <x:v>30177.38</x:v>
      </x:c>
      <x:c r="H63" s="1" t="n">
        <x:f>IF(AND(ISNUMBER(F63),ISNUMBER(G63)),1,0)</x:f>
        <x:v>1</x:v>
      </x:c>
    </x:row>
    <x:row r="64" ht="22" customHeight="1">
      <x:c r="B64" s="1" t="str">
        <x:v>其他系列酒</x:v>
      </x:c>
      <x:c r="C64" s="1" t="n">
        <x:v>0</x:v>
      </x:c>
      <x:c r="D64" s="1" t="n">
        <x:f>'原数'!B12</x:f>
        <x:v>2022</x:v>
      </x:c>
      <x:c r="E64" s="1" t="n">
        <x:f>'原数'!B12</x:f>
        <x:v>2022</x:v>
      </x:c>
      <x:c r="F64" s="7" t="n">
        <x:f>IF(ISNUMBER('原数'!E12),'原数'!E12,"缺失")</x:f>
        <x:v>35075.39</x:v>
      </x:c>
      <x:c r="G64" s="7" t="n">
        <x:f>IF(ISNUMBER('原数'!F12),'原数'!F12,"缺失")</x:f>
        <x:v>30274.93</x:v>
      </x:c>
      <x:c r="H64" s="1" t="n">
        <x:f>IF(AND(ISNUMBER(F64),ISNUMBER(G64)),1,0)</x:f>
        <x:v>1</x:v>
      </x:c>
    </x:row>
    <x:row r="65" ht="22" customHeight="1">
      <x:c r="B65" s="1" t="str">
        <x:v>其他系列酒</x:v>
      </x:c>
      <x:c r="C65" s="1" t="n">
        <x:v>0</x:v>
      </x:c>
      <x:c r="D65" s="1" t="n">
        <x:f>'原数'!B13</x:f>
        <x:v>2023</x:v>
      </x:c>
      <x:c r="E65" s="1" t="n">
        <x:f>'原数'!B13</x:f>
        <x:v>2023</x:v>
      </x:c>
      <x:c r="F65" s="7" t="n">
        <x:f>IF(ISNUMBER('原数'!E13),'原数'!E13,"缺失")</x:f>
        <x:v>42937.04</x:v>
      </x:c>
      <x:c r="G65" s="7" t="n">
        <x:f>IF(ISNUMBER('原数'!F13),'原数'!F13,"缺失")</x:f>
        <x:v>31164.54</x:v>
      </x:c>
      <x:c r="H65" s="1" t="n">
        <x:f>IF(AND(ISNUMBER(F65),ISNUMBER(G65)),1,0)</x:f>
        <x:v>1</x:v>
      </x:c>
    </x:row>
    <x:row r="66" ht="22" customHeight="1">
      <x:c r="B66" s="1" t="str">
        <x:v>其他系列酒</x:v>
      </x:c>
      <x:c r="C66" s="1" t="n">
        <x:v>0</x:v>
      </x:c>
      <x:c r="D66" s="1" t="n">
        <x:f>'原数'!B14</x:f>
        <x:v>2024</x:v>
      </x:c>
      <x:c r="E66" s="1" t="n">
        <x:f>'原数'!B14</x:f>
        <x:v>2024</x:v>
      </x:c>
      <x:c r="F66" s="7" t="n">
        <x:f>IF(ISNUMBER('原数'!E14),'原数'!E14,"缺失")</x:f>
        <x:v>48112.51</x:v>
      </x:c>
      <x:c r="G66" s="7" t="n">
        <x:f>IF(ISNUMBER('原数'!F14),'原数'!F14,"缺失")</x:f>
        <x:v>36919.81</x:v>
      </x:c>
      <x:c r="H66" s="1" t="n">
        <x:f>IF(AND(ISNUMBER(F66),ISNUMBER(G66)),1,0)</x:f>
        <x:v>1</x:v>
      </x:c>
    </x:row>
    <x:row r="67" ht="22" customHeight="1">
      <x:c r="B67" s="1" t="str">
        <x:v>其他系列酒</x:v>
      </x:c>
      <x:c r="C67" s="1" t="n">
        <x:v>0</x:v>
      </x:c>
      <x:c r="D67" s="1" t="n">
        <x:f>'原数'!B15</x:f>
        <x:v>2025</x:v>
      </x:c>
      <x:c r="E67" s="1" t="n">
        <x:f>'原数'!B15</x:f>
        <x:v>2025</x:v>
      </x:c>
      <x:c r="F67" s="7" t="n">
        <x:f>IF(ISNUMBER('原数'!E15),'原数'!E15,"缺失")</x:f>
        <x:v>57650.57</x:v>
      </x:c>
      <x:c r="G67" s="7" t="n">
        <x:f>IF(ISNUMBER('原数'!F15),'原数'!F15,"缺失")</x:f>
        <x:v>38353.48</x:v>
      </x:c>
      <x:c r="H67" s="1" t="n">
        <x:f>IF(AND(ISNUMBER(F67),ISNUMBER(G67)),1,0)</x:f>
        <x:v>1</x:v>
      </x:c>
    </x:row>
    <x:row r="68" ht="22" customHeight="1">
      <x:c r="B68" s="1" t="str">
        <x:v>其他系列酒</x:v>
      </x:c>
      <x:c r="C68" s="1" t="n">
        <x:v>1</x:v>
      </x:c>
      <x:c r="D68" s="1" t="n">
        <x:f>'原数'!B6</x:f>
        <x:v>2016</x:v>
      </x:c>
      <x:c r="E68" s="1" t="n">
        <x:f>'原数'!B7</x:f>
        <x:v>2017</x:v>
      </x:c>
      <x:c r="F68" s="7" t="n">
        <x:f>IF(ISNUMBER('原数'!E6),'原数'!E6,"缺失")</x:f>
        <x:v>20575.44</x:v>
      </x:c>
      <x:c r="G68" s="7" t="n">
        <x:f>IF(ISNUMBER('原数'!F7),'原数'!F7,"缺失")</x:f>
        <x:v>29902.84</x:v>
      </x:c>
      <x:c r="H68" s="1" t="n">
        <x:f>IF(AND(ISNUMBER(F68),ISNUMBER(G68)),1,0)</x:f>
        <x:v>1</x:v>
      </x:c>
    </x:row>
    <x:row r="69" ht="22" customHeight="1">
      <x:c r="B69" s="1" t="str">
        <x:v>其他系列酒</x:v>
      </x:c>
      <x:c r="C69" s="1" t="n">
        <x:v>1</x:v>
      </x:c>
      <x:c r="D69" s="1" t="n">
        <x:f>'原数'!B7</x:f>
        <x:v>2017</x:v>
      </x:c>
      <x:c r="E69" s="1" t="n">
        <x:f>'原数'!B8</x:f>
        <x:v>2018</x:v>
      </x:c>
      <x:c r="F69" s="7" t="n">
        <x:f>IF(ISNUMBER('原数'!E7),'原数'!E7,"缺失")</x:f>
        <x:v>20959.02</x:v>
      </x:c>
      <x:c r="G69" s="7" t="n">
        <x:f>IF(ISNUMBER('原数'!F8),'原数'!F8,"缺失")</x:f>
        <x:v>29774.46</x:v>
      </x:c>
      <x:c r="H69" s="1" t="n">
        <x:f>IF(AND(ISNUMBER(F69),ISNUMBER(G69)),1,0)</x:f>
        <x:v>1</x:v>
      </x:c>
    </x:row>
    <x:row r="70" ht="22" customHeight="1">
      <x:c r="B70" s="1" t="str">
        <x:v>其他系列酒</x:v>
      </x:c>
      <x:c r="C70" s="1" t="n">
        <x:v>1</x:v>
      </x:c>
      <x:c r="D70" s="1" t="n">
        <x:f>'原数'!B8</x:f>
        <x:v>2018</x:v>
      </x:c>
      <x:c r="E70" s="1" t="n">
        <x:f>'原数'!B9</x:f>
        <x:v>2019</x:v>
      </x:c>
      <x:c r="F70" s="7" t="n">
        <x:f>IF(ISNUMBER('原数'!E8),'原数'!E8,"缺失")</x:f>
        <x:v>20545.06</x:v>
      </x:c>
      <x:c r="G70" s="7" t="n">
        <x:f>IF(ISNUMBER('原数'!F9),'原数'!F9,"缺失")</x:f>
        <x:v>30082.84</x:v>
      </x:c>
      <x:c r="H70" s="1" t="n">
        <x:f>IF(AND(ISNUMBER(F70),ISNUMBER(G70)),1,0)</x:f>
        <x:v>1</x:v>
      </x:c>
    </x:row>
    <x:row r="71" ht="22" customHeight="1">
      <x:c r="B71" s="1" t="str">
        <x:v>其他系列酒</x:v>
      </x:c>
      <x:c r="C71" s="1" t="n">
        <x:v>1</x:v>
      </x:c>
      <x:c r="D71" s="1" t="n">
        <x:f>'原数'!B9</x:f>
        <x:v>2019</x:v>
      </x:c>
      <x:c r="E71" s="1" t="n">
        <x:f>'原数'!B10</x:f>
        <x:v>2020</x:v>
      </x:c>
      <x:c r="F71" s="7" t="n">
        <x:f>IF(ISNUMBER('原数'!E9),'原数'!E9,"缺失")</x:f>
        <x:v>25122.02</x:v>
      </x:c>
      <x:c r="G71" s="7" t="n">
        <x:f>IF(ISNUMBER('原数'!F10),'原数'!F10,"缺失")</x:f>
        <x:v>29743.35</x:v>
      </x:c>
      <x:c r="H71" s="1" t="n">
        <x:f>IF(AND(ISNUMBER(F71),ISNUMBER(G71)),1,0)</x:f>
        <x:v>1</x:v>
      </x:c>
    </x:row>
    <x:row r="72" ht="22" customHeight="1">
      <x:c r="B72" s="1" t="str">
        <x:v>其他系列酒</x:v>
      </x:c>
      <x:c r="C72" s="1" t="n">
        <x:v>1</x:v>
      </x:c>
      <x:c r="D72" s="1" t="n">
        <x:f>'原数'!B10</x:f>
        <x:v>2020</x:v>
      </x:c>
      <x:c r="E72" s="1" t="n">
        <x:f>'原数'!B11</x:f>
        <x:v>2021</x:v>
      </x:c>
      <x:c r="F72" s="7" t="n">
        <x:f>IF(ISNUMBER('原数'!E10),'原数'!E10,"缺失")</x:f>
        <x:v>24925.37</x:v>
      </x:c>
      <x:c r="G72" s="7" t="n">
        <x:f>IF(ISNUMBER('原数'!F11),'原数'!F11,"缺失")</x:f>
        <x:v>30177.38</x:v>
      </x:c>
      <x:c r="H72" s="1" t="n">
        <x:f>IF(AND(ISNUMBER(F72),ISNUMBER(G72)),1,0)</x:f>
        <x:v>1</x:v>
      </x:c>
    </x:row>
    <x:row r="73" ht="22" customHeight="1">
      <x:c r="B73" s="1" t="str">
        <x:v>其他系列酒</x:v>
      </x:c>
      <x:c r="C73" s="1" t="n">
        <x:v>1</x:v>
      </x:c>
      <x:c r="D73" s="1" t="n">
        <x:f>'原数'!B11</x:f>
        <x:v>2021</x:v>
      </x:c>
      <x:c r="E73" s="1" t="n">
        <x:f>'原数'!B12</x:f>
        <x:v>2022</x:v>
      </x:c>
      <x:c r="F73" s="7" t="n">
        <x:f>IF(ISNUMBER('原数'!E11),'原数'!E11,"缺失")</x:f>
        <x:v>28248.92</x:v>
      </x:c>
      <x:c r="G73" s="7" t="n">
        <x:f>IF(ISNUMBER('原数'!F12),'原数'!F12,"缺失")</x:f>
        <x:v>30274.93</x:v>
      </x:c>
      <x:c r="H73" s="1" t="n">
        <x:f>IF(AND(ISNUMBER(F73),ISNUMBER(G73)),1,0)</x:f>
        <x:v>1</x:v>
      </x:c>
    </x:row>
    <x:row r="74" ht="22" customHeight="1">
      <x:c r="B74" s="1" t="str">
        <x:v>其他系列酒</x:v>
      </x:c>
      <x:c r="C74" s="1" t="n">
        <x:v>1</x:v>
      </x:c>
      <x:c r="D74" s="1" t="n">
        <x:f>'原数'!B12</x:f>
        <x:v>2022</x:v>
      </x:c>
      <x:c r="E74" s="1" t="n">
        <x:f>'原数'!B13</x:f>
        <x:v>2023</x:v>
      </x:c>
      <x:c r="F74" s="7" t="n">
        <x:f>IF(ISNUMBER('原数'!E12),'原数'!E12,"缺失")</x:f>
        <x:v>35075.39</x:v>
      </x:c>
      <x:c r="G74" s="7" t="n">
        <x:f>IF(ISNUMBER('原数'!F13),'原数'!F13,"缺失")</x:f>
        <x:v>31164.54</x:v>
      </x:c>
      <x:c r="H74" s="1" t="n">
        <x:f>IF(AND(ISNUMBER(F74),ISNUMBER(G74)),1,0)</x:f>
        <x:v>1</x:v>
      </x:c>
    </x:row>
    <x:row r="75" ht="22" customHeight="1">
      <x:c r="B75" s="1" t="str">
        <x:v>其他系列酒</x:v>
      </x:c>
      <x:c r="C75" s="1" t="n">
        <x:v>1</x:v>
      </x:c>
      <x:c r="D75" s="1" t="n">
        <x:f>'原数'!B13</x:f>
        <x:v>2023</x:v>
      </x:c>
      <x:c r="E75" s="1" t="n">
        <x:f>'原数'!B14</x:f>
        <x:v>2024</x:v>
      </x:c>
      <x:c r="F75" s="7" t="n">
        <x:f>IF(ISNUMBER('原数'!E13),'原数'!E13,"缺失")</x:f>
        <x:v>42937.04</x:v>
      </x:c>
      <x:c r="G75" s="7" t="n">
        <x:f>IF(ISNUMBER('原数'!F14),'原数'!F14,"缺失")</x:f>
        <x:v>36919.81</x:v>
      </x:c>
      <x:c r="H75" s="1" t="n">
        <x:f>IF(AND(ISNUMBER(F75),ISNUMBER(G75)),1,0)</x:f>
        <x:v>1</x:v>
      </x:c>
    </x:row>
    <x:row r="76" ht="22" customHeight="1">
      <x:c r="B76" s="1" t="str">
        <x:v>其他系列酒</x:v>
      </x:c>
      <x:c r="C76" s="1" t="n">
        <x:v>1</x:v>
      </x:c>
      <x:c r="D76" s="1" t="n">
        <x:f>'原数'!B14</x:f>
        <x:v>2024</x:v>
      </x:c>
      <x:c r="E76" s="1" t="n">
        <x:f>'原数'!B15</x:f>
        <x:v>2025</x:v>
      </x:c>
      <x:c r="F76" s="7" t="n">
        <x:f>IF(ISNUMBER('原数'!E14),'原数'!E14,"缺失")</x:f>
        <x:v>48112.51</x:v>
      </x:c>
      <x:c r="G76" s="7" t="n">
        <x:f>IF(ISNUMBER('原数'!F15),'原数'!F15,"缺失")</x:f>
        <x:v>38353.48</x:v>
      </x:c>
      <x:c r="H76" s="1" t="n">
        <x:f>IF(AND(ISNUMBER(F76),ISNUMBER(G76)),1,0)</x:f>
        <x:v>1</x:v>
      </x:c>
    </x:row>
    <x:row r="77" ht="22" customHeight="1">
      <x:c r="B77" s="1" t="str">
        <x:v>其他系列酒</x:v>
      </x:c>
      <x:c r="C77" s="1" t="n">
        <x:v>2</x:v>
      </x:c>
      <x:c r="D77" s="1" t="n">
        <x:f>'原数'!B6</x:f>
        <x:v>2016</x:v>
      </x:c>
      <x:c r="E77" s="1" t="n">
        <x:f>'原数'!B8</x:f>
        <x:v>2018</x:v>
      </x:c>
      <x:c r="F77" s="7" t="n">
        <x:f>IF(ISNUMBER('原数'!E6),'原数'!E6,"缺失")</x:f>
        <x:v>20575.44</x:v>
      </x:c>
      <x:c r="G77" s="7" t="n">
        <x:f>IF(ISNUMBER('原数'!F8),'原数'!F8,"缺失")</x:f>
        <x:v>29774.46</x:v>
      </x:c>
      <x:c r="H77" s="1" t="n">
        <x:f>IF(AND(ISNUMBER(F77),ISNUMBER(G77)),1,0)</x:f>
        <x:v>1</x:v>
      </x:c>
    </x:row>
    <x:row r="78" ht="22" customHeight="1">
      <x:c r="B78" s="1" t="str">
        <x:v>其他系列酒</x:v>
      </x:c>
      <x:c r="C78" s="1" t="n">
        <x:v>2</x:v>
      </x:c>
      <x:c r="D78" s="1" t="n">
        <x:f>'原数'!B7</x:f>
        <x:v>2017</x:v>
      </x:c>
      <x:c r="E78" s="1" t="n">
        <x:f>'原数'!B9</x:f>
        <x:v>2019</x:v>
      </x:c>
      <x:c r="F78" s="7" t="n">
        <x:f>IF(ISNUMBER('原数'!E7),'原数'!E7,"缺失")</x:f>
        <x:v>20959.02</x:v>
      </x:c>
      <x:c r="G78" s="7" t="n">
        <x:f>IF(ISNUMBER('原数'!F9),'原数'!F9,"缺失")</x:f>
        <x:v>30082.84</x:v>
      </x:c>
      <x:c r="H78" s="1" t="n">
        <x:f>IF(AND(ISNUMBER(F78),ISNUMBER(G78)),1,0)</x:f>
        <x:v>1</x:v>
      </x:c>
    </x:row>
    <x:row r="79" ht="22" customHeight="1">
      <x:c r="B79" s="1" t="str">
        <x:v>其他系列酒</x:v>
      </x:c>
      <x:c r="C79" s="1" t="n">
        <x:v>2</x:v>
      </x:c>
      <x:c r="D79" s="1" t="n">
        <x:f>'原数'!B8</x:f>
        <x:v>2018</x:v>
      </x:c>
      <x:c r="E79" s="1" t="n">
        <x:f>'原数'!B10</x:f>
        <x:v>2020</x:v>
      </x:c>
      <x:c r="F79" s="7" t="n">
        <x:f>IF(ISNUMBER('原数'!E8),'原数'!E8,"缺失")</x:f>
        <x:v>20545.06</x:v>
      </x:c>
      <x:c r="G79" s="7" t="n">
        <x:f>IF(ISNUMBER('原数'!F10),'原数'!F10,"缺失")</x:f>
        <x:v>29743.35</x:v>
      </x:c>
      <x:c r="H79" s="1" t="n">
        <x:f>IF(AND(ISNUMBER(F79),ISNUMBER(G79)),1,0)</x:f>
        <x:v>1</x:v>
      </x:c>
    </x:row>
    <x:row r="80" ht="22" customHeight="1">
      <x:c r="B80" s="1" t="str">
        <x:v>其他系列酒</x:v>
      </x:c>
      <x:c r="C80" s="1" t="n">
        <x:v>2</x:v>
      </x:c>
      <x:c r="D80" s="1" t="n">
        <x:f>'原数'!B9</x:f>
        <x:v>2019</x:v>
      </x:c>
      <x:c r="E80" s="1" t="n">
        <x:f>'原数'!B11</x:f>
        <x:v>2021</x:v>
      </x:c>
      <x:c r="F80" s="7" t="n">
        <x:f>IF(ISNUMBER('原数'!E9),'原数'!E9,"缺失")</x:f>
        <x:v>25122.02</x:v>
      </x:c>
      <x:c r="G80" s="7" t="n">
        <x:f>IF(ISNUMBER('原数'!F11),'原数'!F11,"缺失")</x:f>
        <x:v>30177.38</x:v>
      </x:c>
      <x:c r="H80" s="1" t="n">
        <x:f>IF(AND(ISNUMBER(F80),ISNUMBER(G80)),1,0)</x:f>
        <x:v>1</x:v>
      </x:c>
    </x:row>
    <x:row r="81" ht="22" customHeight="1">
      <x:c r="B81" s="1" t="str">
        <x:v>其他系列酒</x:v>
      </x:c>
      <x:c r="C81" s="1" t="n">
        <x:v>2</x:v>
      </x:c>
      <x:c r="D81" s="1" t="n">
        <x:f>'原数'!B10</x:f>
        <x:v>2020</x:v>
      </x:c>
      <x:c r="E81" s="1" t="n">
        <x:f>'原数'!B12</x:f>
        <x:v>2022</x:v>
      </x:c>
      <x:c r="F81" s="7" t="n">
        <x:f>IF(ISNUMBER('原数'!E10),'原数'!E10,"缺失")</x:f>
        <x:v>24925.37</x:v>
      </x:c>
      <x:c r="G81" s="7" t="n">
        <x:f>IF(ISNUMBER('原数'!F12),'原数'!F12,"缺失")</x:f>
        <x:v>30274.93</x:v>
      </x:c>
      <x:c r="H81" s="1" t="n">
        <x:f>IF(AND(ISNUMBER(F81),ISNUMBER(G81)),1,0)</x:f>
        <x:v>1</x:v>
      </x:c>
    </x:row>
    <x:row r="82" ht="22" customHeight="1">
      <x:c r="B82" s="1" t="str">
        <x:v>其他系列酒</x:v>
      </x:c>
      <x:c r="C82" s="1" t="n">
        <x:v>2</x:v>
      </x:c>
      <x:c r="D82" s="1" t="n">
        <x:f>'原数'!B11</x:f>
        <x:v>2021</x:v>
      </x:c>
      <x:c r="E82" s="1" t="n">
        <x:f>'原数'!B13</x:f>
        <x:v>2023</x:v>
      </x:c>
      <x:c r="F82" s="7" t="n">
        <x:f>IF(ISNUMBER('原数'!E11),'原数'!E11,"缺失")</x:f>
        <x:v>28248.92</x:v>
      </x:c>
      <x:c r="G82" s="7" t="n">
        <x:f>IF(ISNUMBER('原数'!F13),'原数'!F13,"缺失")</x:f>
        <x:v>31164.54</x:v>
      </x:c>
      <x:c r="H82" s="1" t="n">
        <x:f>IF(AND(ISNUMBER(F82),ISNUMBER(G82)),1,0)</x:f>
        <x:v>1</x:v>
      </x:c>
    </x:row>
    <x:row r="83" ht="22" customHeight="1">
      <x:c r="B83" s="1" t="str">
        <x:v>其他系列酒</x:v>
      </x:c>
      <x:c r="C83" s="1" t="n">
        <x:v>2</x:v>
      </x:c>
      <x:c r="D83" s="1" t="n">
        <x:f>'原数'!B12</x:f>
        <x:v>2022</x:v>
      </x:c>
      <x:c r="E83" s="1" t="n">
        <x:f>'原数'!B14</x:f>
        <x:v>2024</x:v>
      </x:c>
      <x:c r="F83" s="7" t="n">
        <x:f>IF(ISNUMBER('原数'!E12),'原数'!E12,"缺失")</x:f>
        <x:v>35075.39</x:v>
      </x:c>
      <x:c r="G83" s="7" t="n">
        <x:f>IF(ISNUMBER('原数'!F14),'原数'!F14,"缺失")</x:f>
        <x:v>36919.81</x:v>
      </x:c>
      <x:c r="H83" s="1" t="n">
        <x:f>IF(AND(ISNUMBER(F83),ISNUMBER(G83)),1,0)</x:f>
        <x:v>1</x:v>
      </x:c>
    </x:row>
    <x:row r="84" ht="22" customHeight="1">
      <x:c r="B84" s="1" t="str">
        <x:v>其他系列酒</x:v>
      </x:c>
      <x:c r="C84" s="1" t="n">
        <x:v>2</x:v>
      </x:c>
      <x:c r="D84" s="1" t="n">
        <x:f>'原数'!B13</x:f>
        <x:v>2023</x:v>
      </x:c>
      <x:c r="E84" s="1" t="n">
        <x:f>'原数'!B15</x:f>
        <x:v>2025</x:v>
      </x:c>
      <x:c r="F84" s="7" t="n">
        <x:f>IF(ISNUMBER('原数'!E13),'原数'!E13,"缺失")</x:f>
        <x:v>42937.04</x:v>
      </x:c>
      <x:c r="G84" s="7" t="n">
        <x:f>IF(ISNUMBER('原数'!F15),'原数'!F15,"缺失")</x:f>
        <x:v>38353.48</x:v>
      </x:c>
      <x:c r="H84" s="1" t="n">
        <x:f>IF(AND(ISNUMBER(F84),ISNUMBER(G84)),1,0)</x:f>
        <x:v>1</x:v>
      </x:c>
    </x:row>
    <x:row r="85" ht="22" customHeight="1">
      <x:c r="B85" s="1" t="str">
        <x:v>其他系列酒</x:v>
      </x:c>
      <x:c r="C85" s="1" t="n">
        <x:v>3</x:v>
      </x:c>
      <x:c r="D85" s="1" t="n">
        <x:f>'原数'!B6</x:f>
        <x:v>2016</x:v>
      </x:c>
      <x:c r="E85" s="1" t="n">
        <x:f>'原数'!B9</x:f>
        <x:v>2019</x:v>
      </x:c>
      <x:c r="F85" s="7" t="n">
        <x:f>IF(ISNUMBER('原数'!E6),'原数'!E6,"缺失")</x:f>
        <x:v>20575.44</x:v>
      </x:c>
      <x:c r="G85" s="7" t="n">
        <x:f>IF(ISNUMBER('原数'!F9),'原数'!F9,"缺失")</x:f>
        <x:v>30082.84</x:v>
      </x:c>
      <x:c r="H85" s="1" t="n">
        <x:f>IF(AND(ISNUMBER(F85),ISNUMBER(G85)),1,0)</x:f>
        <x:v>1</x:v>
      </x:c>
    </x:row>
    <x:row r="86" ht="22" customHeight="1">
      <x:c r="B86" s="1" t="str">
        <x:v>其他系列酒</x:v>
      </x:c>
      <x:c r="C86" s="1" t="n">
        <x:v>3</x:v>
      </x:c>
      <x:c r="D86" s="1" t="n">
        <x:f>'原数'!B7</x:f>
        <x:v>2017</x:v>
      </x:c>
      <x:c r="E86" s="1" t="n">
        <x:f>'原数'!B10</x:f>
        <x:v>2020</x:v>
      </x:c>
      <x:c r="F86" s="7" t="n">
        <x:f>IF(ISNUMBER('原数'!E7),'原数'!E7,"缺失")</x:f>
        <x:v>20959.02</x:v>
      </x:c>
      <x:c r="G86" s="7" t="n">
        <x:f>IF(ISNUMBER('原数'!F10),'原数'!F10,"缺失")</x:f>
        <x:v>29743.35</x:v>
      </x:c>
      <x:c r="H86" s="1" t="n">
        <x:f>IF(AND(ISNUMBER(F86),ISNUMBER(G86)),1,0)</x:f>
        <x:v>1</x:v>
      </x:c>
    </x:row>
    <x:row r="87" ht="22" customHeight="1">
      <x:c r="B87" s="1" t="str">
        <x:v>其他系列酒</x:v>
      </x:c>
      <x:c r="C87" s="1" t="n">
        <x:v>3</x:v>
      </x:c>
      <x:c r="D87" s="1" t="n">
        <x:f>'原数'!B8</x:f>
        <x:v>2018</x:v>
      </x:c>
      <x:c r="E87" s="1" t="n">
        <x:f>'原数'!B11</x:f>
        <x:v>2021</x:v>
      </x:c>
      <x:c r="F87" s="7" t="n">
        <x:f>IF(ISNUMBER('原数'!E8),'原数'!E8,"缺失")</x:f>
        <x:v>20545.06</x:v>
      </x:c>
      <x:c r="G87" s="7" t="n">
        <x:f>IF(ISNUMBER('原数'!F11),'原数'!F11,"缺失")</x:f>
        <x:v>30177.38</x:v>
      </x:c>
      <x:c r="H87" s="1" t="n">
        <x:f>IF(AND(ISNUMBER(F87),ISNUMBER(G87)),1,0)</x:f>
        <x:v>1</x:v>
      </x:c>
    </x:row>
    <x:row r="88" ht="22" customHeight="1">
      <x:c r="B88" s="1" t="str">
        <x:v>其他系列酒</x:v>
      </x:c>
      <x:c r="C88" s="1" t="n">
        <x:v>3</x:v>
      </x:c>
      <x:c r="D88" s="1" t="n">
        <x:f>'原数'!B9</x:f>
        <x:v>2019</x:v>
      </x:c>
      <x:c r="E88" s="1" t="n">
        <x:f>'原数'!B12</x:f>
        <x:v>2022</x:v>
      </x:c>
      <x:c r="F88" s="7" t="n">
        <x:f>IF(ISNUMBER('原数'!E9),'原数'!E9,"缺失")</x:f>
        <x:v>25122.02</x:v>
      </x:c>
      <x:c r="G88" s="7" t="n">
        <x:f>IF(ISNUMBER('原数'!F12),'原数'!F12,"缺失")</x:f>
        <x:v>30274.93</x:v>
      </x:c>
      <x:c r="H88" s="1" t="n">
        <x:f>IF(AND(ISNUMBER(F88),ISNUMBER(G88)),1,0)</x:f>
        <x:v>1</x:v>
      </x:c>
    </x:row>
    <x:row r="89" ht="22" customHeight="1">
      <x:c r="B89" s="1" t="str">
        <x:v>其他系列酒</x:v>
      </x:c>
      <x:c r="C89" s="1" t="n">
        <x:v>3</x:v>
      </x:c>
      <x:c r="D89" s="1" t="n">
        <x:f>'原数'!B10</x:f>
        <x:v>2020</x:v>
      </x:c>
      <x:c r="E89" s="1" t="n">
        <x:f>'原数'!B13</x:f>
        <x:v>2023</x:v>
      </x:c>
      <x:c r="F89" s="7" t="n">
        <x:f>IF(ISNUMBER('原数'!E10),'原数'!E10,"缺失")</x:f>
        <x:v>24925.37</x:v>
      </x:c>
      <x:c r="G89" s="7" t="n">
        <x:f>IF(ISNUMBER('原数'!F13),'原数'!F13,"缺失")</x:f>
        <x:v>31164.54</x:v>
      </x:c>
      <x:c r="H89" s="1" t="n">
        <x:f>IF(AND(ISNUMBER(F89),ISNUMBER(G89)),1,0)</x:f>
        <x:v>1</x:v>
      </x:c>
    </x:row>
    <x:row r="90" ht="22" customHeight="1">
      <x:c r="B90" s="1" t="str">
        <x:v>其他系列酒</x:v>
      </x:c>
      <x:c r="C90" s="1" t="n">
        <x:v>3</x:v>
      </x:c>
      <x:c r="D90" s="1" t="n">
        <x:f>'原数'!B11</x:f>
        <x:v>2021</x:v>
      </x:c>
      <x:c r="E90" s="1" t="n">
        <x:f>'原数'!B14</x:f>
        <x:v>2024</x:v>
      </x:c>
      <x:c r="F90" s="7" t="n">
        <x:f>IF(ISNUMBER('原数'!E11),'原数'!E11,"缺失")</x:f>
        <x:v>28248.92</x:v>
      </x:c>
      <x:c r="G90" s="7" t="n">
        <x:f>IF(ISNUMBER('原数'!F14),'原数'!F14,"缺失")</x:f>
        <x:v>36919.81</x:v>
      </x:c>
      <x:c r="H90" s="1" t="n">
        <x:f>IF(AND(ISNUMBER(F90),ISNUMBER(G90)),1,0)</x:f>
        <x:v>1</x:v>
      </x:c>
    </x:row>
    <x:row r="91" ht="22" customHeight="1">
      <x:c r="B91" s="1" t="str">
        <x:v>其他系列酒</x:v>
      </x:c>
      <x:c r="C91" s="1" t="n">
        <x:v>3</x:v>
      </x:c>
      <x:c r="D91" s="1" t="n">
        <x:f>'原数'!B12</x:f>
        <x:v>2022</x:v>
      </x:c>
      <x:c r="E91" s="1" t="n">
        <x:f>'原数'!B15</x:f>
        <x:v>2025</x:v>
      </x:c>
      <x:c r="F91" s="7" t="n">
        <x:f>IF(ISNUMBER('原数'!E12),'原数'!E12,"缺失")</x:f>
        <x:v>35075.39</x:v>
      </x:c>
      <x:c r="G91" s="7" t="n">
        <x:f>IF(ISNUMBER('原数'!F15),'原数'!F15,"缺失")</x:f>
        <x:v>38353.48</x:v>
      </x:c>
      <x:c r="H91" s="1" t="n">
        <x:f>IF(AND(ISNUMBER(F91),ISNUMBER(G91)),1,0)</x:f>
        <x:v>1</x:v>
      </x:c>
    </x:row>
    <x:row r="92" ht="22" customHeight="1">
      <x:c r="B92" s="1" t="str">
        <x:v>其他系列酒</x:v>
      </x:c>
      <x:c r="C92" s="1" t="n">
        <x:v>4</x:v>
      </x:c>
      <x:c r="D92" s="1" t="n">
        <x:f>'原数'!B6</x:f>
        <x:v>2016</x:v>
      </x:c>
      <x:c r="E92" s="1" t="n">
        <x:f>'原数'!B10</x:f>
        <x:v>2020</x:v>
      </x:c>
      <x:c r="F92" s="7" t="n">
        <x:f>IF(ISNUMBER('原数'!E6),'原数'!E6,"缺失")</x:f>
        <x:v>20575.44</x:v>
      </x:c>
      <x:c r="G92" s="7" t="n">
        <x:f>IF(ISNUMBER('原数'!F10),'原数'!F10,"缺失")</x:f>
        <x:v>29743.35</x:v>
      </x:c>
      <x:c r="H92" s="1" t="n">
        <x:f>IF(AND(ISNUMBER(F92),ISNUMBER(G92)),1,0)</x:f>
        <x:v>1</x:v>
      </x:c>
    </x:row>
    <x:row r="93" ht="22" customHeight="1">
      <x:c r="B93" s="1" t="str">
        <x:v>其他系列酒</x:v>
      </x:c>
      <x:c r="C93" s="1" t="n">
        <x:v>4</x:v>
      </x:c>
      <x:c r="D93" s="1" t="n">
        <x:f>'原数'!B7</x:f>
        <x:v>2017</x:v>
      </x:c>
      <x:c r="E93" s="1" t="n">
        <x:f>'原数'!B11</x:f>
        <x:v>2021</x:v>
      </x:c>
      <x:c r="F93" s="7" t="n">
        <x:f>IF(ISNUMBER('原数'!E7),'原数'!E7,"缺失")</x:f>
        <x:v>20959.02</x:v>
      </x:c>
      <x:c r="G93" s="7" t="n">
        <x:f>IF(ISNUMBER('原数'!F11),'原数'!F11,"缺失")</x:f>
        <x:v>30177.38</x:v>
      </x:c>
      <x:c r="H93" s="1" t="n">
        <x:f>IF(AND(ISNUMBER(F93),ISNUMBER(G93)),1,0)</x:f>
        <x:v>1</x:v>
      </x:c>
    </x:row>
    <x:row r="94" ht="22" customHeight="1">
      <x:c r="B94" s="1" t="str">
        <x:v>其他系列酒</x:v>
      </x:c>
      <x:c r="C94" s="1" t="n">
        <x:v>4</x:v>
      </x:c>
      <x:c r="D94" s="1" t="n">
        <x:f>'原数'!B8</x:f>
        <x:v>2018</x:v>
      </x:c>
      <x:c r="E94" s="1" t="n">
        <x:f>'原数'!B12</x:f>
        <x:v>2022</x:v>
      </x:c>
      <x:c r="F94" s="7" t="n">
        <x:f>IF(ISNUMBER('原数'!E8),'原数'!E8,"缺失")</x:f>
        <x:v>20545.06</x:v>
      </x:c>
      <x:c r="G94" s="7" t="n">
        <x:f>IF(ISNUMBER('原数'!F12),'原数'!F12,"缺失")</x:f>
        <x:v>30274.93</x:v>
      </x:c>
      <x:c r="H94" s="1" t="n">
        <x:f>IF(AND(ISNUMBER(F94),ISNUMBER(G94)),1,0)</x:f>
        <x:v>1</x:v>
      </x:c>
    </x:row>
    <x:row r="95" ht="22" customHeight="1">
      <x:c r="B95" s="1" t="str">
        <x:v>其他系列酒</x:v>
      </x:c>
      <x:c r="C95" s="1" t="n">
        <x:v>4</x:v>
      </x:c>
      <x:c r="D95" s="1" t="n">
        <x:f>'原数'!B9</x:f>
        <x:v>2019</x:v>
      </x:c>
      <x:c r="E95" s="1" t="n">
        <x:f>'原数'!B13</x:f>
        <x:v>2023</x:v>
      </x:c>
      <x:c r="F95" s="7" t="n">
        <x:f>IF(ISNUMBER('原数'!E9),'原数'!E9,"缺失")</x:f>
        <x:v>25122.02</x:v>
      </x:c>
      <x:c r="G95" s="7" t="n">
        <x:f>IF(ISNUMBER('原数'!F13),'原数'!F13,"缺失")</x:f>
        <x:v>31164.54</x:v>
      </x:c>
      <x:c r="H95" s="1" t="n">
        <x:f>IF(AND(ISNUMBER(F95),ISNUMBER(G95)),1,0)</x:f>
        <x:v>1</x:v>
      </x:c>
    </x:row>
    <x:row r="96" ht="22" customHeight="1">
      <x:c r="B96" s="1" t="str">
        <x:v>其他系列酒</x:v>
      </x:c>
      <x:c r="C96" s="1" t="n">
        <x:v>4</x:v>
      </x:c>
      <x:c r="D96" s="1" t="n">
        <x:f>'原数'!B10</x:f>
        <x:v>2020</x:v>
      </x:c>
      <x:c r="E96" s="1" t="n">
        <x:f>'原数'!B14</x:f>
        <x:v>2024</x:v>
      </x:c>
      <x:c r="F96" s="7" t="n">
        <x:f>IF(ISNUMBER('原数'!E10),'原数'!E10,"缺失")</x:f>
        <x:v>24925.37</x:v>
      </x:c>
      <x:c r="G96" s="7" t="n">
        <x:f>IF(ISNUMBER('原数'!F14),'原数'!F14,"缺失")</x:f>
        <x:v>36919.81</x:v>
      </x:c>
      <x:c r="H96" s="1" t="n">
        <x:f>IF(AND(ISNUMBER(F96),ISNUMBER(G96)),1,0)</x:f>
        <x:v>1</x:v>
      </x:c>
    </x:row>
    <x:row r="97" ht="22" customHeight="1">
      <x:c r="B97" s="1" t="str">
        <x:v>其他系列酒</x:v>
      </x:c>
      <x:c r="C97" s="1" t="n">
        <x:v>4</x:v>
      </x:c>
      <x:c r="D97" s="1" t="n">
        <x:f>'原数'!B11</x:f>
        <x:v>2021</x:v>
      </x:c>
      <x:c r="E97" s="1" t="n">
        <x:f>'原数'!B15</x:f>
        <x:v>2025</x:v>
      </x:c>
      <x:c r="F97" s="7" t="n">
        <x:f>IF(ISNUMBER('原数'!E11),'原数'!E11,"缺失")</x:f>
        <x:v>28248.92</x:v>
      </x:c>
      <x:c r="G97" s="7" t="n">
        <x:f>IF(ISNUMBER('原数'!F15),'原数'!F15,"缺失")</x:f>
        <x:v>38353.48</x:v>
      </x:c>
      <x:c r="H97" s="1" t="n">
        <x:f>IF(AND(ISNUMBER(F97),ISNUMBER(G97)),1,0)</x:f>
        <x:v>1</x:v>
      </x:c>
    </x:row>
    <x:row r="98" ht="22" customHeight="1">
      <x:c r="B98" s="1" t="str">
        <x:v>其他系列酒</x:v>
      </x:c>
      <x:c r="C98" s="1" t="n">
        <x:v>5</x:v>
      </x:c>
      <x:c r="D98" s="1" t="n">
        <x:f>'原数'!B6</x:f>
        <x:v>2016</x:v>
      </x:c>
      <x:c r="E98" s="1" t="n">
        <x:f>'原数'!B11</x:f>
        <x:v>2021</x:v>
      </x:c>
      <x:c r="F98" s="7" t="n">
        <x:f>IF(ISNUMBER('原数'!E6),'原数'!E6,"缺失")</x:f>
        <x:v>20575.44</x:v>
      </x:c>
      <x:c r="G98" s="7" t="n">
        <x:f>IF(ISNUMBER('原数'!F11),'原数'!F11,"缺失")</x:f>
        <x:v>30177.38</x:v>
      </x:c>
      <x:c r="H98" s="1" t="n">
        <x:f>IF(AND(ISNUMBER(F98),ISNUMBER(G98)),1,0)</x:f>
        <x:v>1</x:v>
      </x:c>
    </x:row>
    <x:row r="99" ht="22" customHeight="1">
      <x:c r="B99" s="1" t="str">
        <x:v>其他系列酒</x:v>
      </x:c>
      <x:c r="C99" s="1" t="n">
        <x:v>5</x:v>
      </x:c>
      <x:c r="D99" s="1" t="n">
        <x:f>'原数'!B7</x:f>
        <x:v>2017</x:v>
      </x:c>
      <x:c r="E99" s="1" t="n">
        <x:f>'原数'!B12</x:f>
        <x:v>2022</x:v>
      </x:c>
      <x:c r="F99" s="7" t="n">
        <x:f>IF(ISNUMBER('原数'!E7),'原数'!E7,"缺失")</x:f>
        <x:v>20959.02</x:v>
      </x:c>
      <x:c r="G99" s="7" t="n">
        <x:f>IF(ISNUMBER('原数'!F12),'原数'!F12,"缺失")</x:f>
        <x:v>30274.93</x:v>
      </x:c>
      <x:c r="H99" s="1" t="n">
        <x:f>IF(AND(ISNUMBER(F99),ISNUMBER(G99)),1,0)</x:f>
        <x:v>1</x:v>
      </x:c>
    </x:row>
    <x:row r="100" ht="22" customHeight="1">
      <x:c r="B100" s="1" t="str">
        <x:v>其他系列酒</x:v>
      </x:c>
      <x:c r="C100" s="1" t="n">
        <x:v>5</x:v>
      </x:c>
      <x:c r="D100" s="1" t="n">
        <x:f>'原数'!B8</x:f>
        <x:v>2018</x:v>
      </x:c>
      <x:c r="E100" s="1" t="n">
        <x:f>'原数'!B13</x:f>
        <x:v>2023</x:v>
      </x:c>
      <x:c r="F100" s="7" t="n">
        <x:f>IF(ISNUMBER('原数'!E8),'原数'!E8,"缺失")</x:f>
        <x:v>20545.06</x:v>
      </x:c>
      <x:c r="G100" s="7" t="n">
        <x:f>IF(ISNUMBER('原数'!F13),'原数'!F13,"缺失")</x:f>
        <x:v>31164.54</x:v>
      </x:c>
      <x:c r="H100" s="1" t="n">
        <x:f>IF(AND(ISNUMBER(F100),ISNUMBER(G100)),1,0)</x:f>
        <x:v>1</x:v>
      </x:c>
    </x:row>
    <x:row r="101" ht="22" customHeight="1">
      <x:c r="B101" s="1" t="str">
        <x:v>其他系列酒</x:v>
      </x:c>
      <x:c r="C101" s="1" t="n">
        <x:v>5</x:v>
      </x:c>
      <x:c r="D101" s="1" t="n">
        <x:f>'原数'!B9</x:f>
        <x:v>2019</x:v>
      </x:c>
      <x:c r="E101" s="1" t="n">
        <x:f>'原数'!B14</x:f>
        <x:v>2024</x:v>
      </x:c>
      <x:c r="F101" s="7" t="n">
        <x:f>IF(ISNUMBER('原数'!E9),'原数'!E9,"缺失")</x:f>
        <x:v>25122.02</x:v>
      </x:c>
      <x:c r="G101" s="7" t="n">
        <x:f>IF(ISNUMBER('原数'!F14),'原数'!F14,"缺失")</x:f>
        <x:v>36919.81</x:v>
      </x:c>
      <x:c r="H101" s="1" t="n">
        <x:f>IF(AND(ISNUMBER(F101),ISNUMBER(G101)),1,0)</x:f>
        <x:v>1</x:v>
      </x:c>
    </x:row>
    <x:row r="102" ht="22" customHeight="1">
      <x:c r="B102" s="1" t="str">
        <x:v>其他系列酒</x:v>
      </x:c>
      <x:c r="C102" s="1" t="n">
        <x:v>5</x:v>
      </x:c>
      <x:c r="D102" s="1" t="n">
        <x:f>'原数'!B10</x:f>
        <x:v>2020</x:v>
      </x:c>
      <x:c r="E102" s="1" t="n">
        <x:f>'原数'!B15</x:f>
        <x:v>2025</x:v>
      </x:c>
      <x:c r="F102" s="7" t="n">
        <x:f>IF(ISNUMBER('原数'!E10),'原数'!E10,"缺失")</x:f>
        <x:v>24925.37</x:v>
      </x:c>
      <x:c r="G102" s="7" t="n">
        <x:f>IF(ISNUMBER('原数'!F15),'原数'!F15,"缺失")</x:f>
        <x:v>38353.48</x:v>
      </x:c>
      <x:c r="H102" s="1" t="n">
        <x:f>IF(AND(ISNUMBER(F102),ISNUMBER(G102)),1,0)</x:f>
        <x:v>1</x:v>
      </x:c>
    </x:row>
    <x:row r="103" ht="22" customHeight="1">
      <x:c r="B103" s="1" t="str">
        <x:v>其他系列酒</x:v>
      </x:c>
      <x:c r="C103" s="1" t="n">
        <x:v>6</x:v>
      </x:c>
      <x:c r="D103" s="1" t="n">
        <x:f>'原数'!B6</x:f>
        <x:v>2016</x:v>
      </x:c>
      <x:c r="E103" s="1" t="n">
        <x:f>'原数'!B12</x:f>
        <x:v>2022</x:v>
      </x:c>
      <x:c r="F103" s="7" t="n">
        <x:f>IF(ISNUMBER('原数'!E6),'原数'!E6,"缺失")</x:f>
        <x:v>20575.44</x:v>
      </x:c>
      <x:c r="G103" s="7" t="n">
        <x:f>IF(ISNUMBER('原数'!F12),'原数'!F12,"缺失")</x:f>
        <x:v>30274.93</x:v>
      </x:c>
      <x:c r="H103" s="1" t="n">
        <x:f>IF(AND(ISNUMBER(F103),ISNUMBER(G103)),1,0)</x:f>
        <x:v>1</x:v>
      </x:c>
    </x:row>
    <x:row r="104" ht="22" customHeight="1">
      <x:c r="B104" s="1" t="str">
        <x:v>其他系列酒</x:v>
      </x:c>
      <x:c r="C104" s="1" t="n">
        <x:v>6</x:v>
      </x:c>
      <x:c r="D104" s="1" t="n">
        <x:f>'原数'!B7</x:f>
        <x:v>2017</x:v>
      </x:c>
      <x:c r="E104" s="1" t="n">
        <x:f>'原数'!B13</x:f>
        <x:v>2023</x:v>
      </x:c>
      <x:c r="F104" s="7" t="n">
        <x:f>IF(ISNUMBER('原数'!E7),'原数'!E7,"缺失")</x:f>
        <x:v>20959.02</x:v>
      </x:c>
      <x:c r="G104" s="7" t="n">
        <x:f>IF(ISNUMBER('原数'!F13),'原数'!F13,"缺失")</x:f>
        <x:v>31164.54</x:v>
      </x:c>
      <x:c r="H104" s="1" t="n">
        <x:f>IF(AND(ISNUMBER(F104),ISNUMBER(G104)),1,0)</x:f>
        <x:v>1</x:v>
      </x:c>
    </x:row>
    <x:row r="105" ht="22" customHeight="1">
      <x:c r="B105" s="1" t="str">
        <x:v>其他系列酒</x:v>
      </x:c>
      <x:c r="C105" s="1" t="n">
        <x:v>6</x:v>
      </x:c>
      <x:c r="D105" s="1" t="n">
        <x:f>'原数'!B8</x:f>
        <x:v>2018</x:v>
      </x:c>
      <x:c r="E105" s="1" t="n">
        <x:f>'原数'!B14</x:f>
        <x:v>2024</x:v>
      </x:c>
      <x:c r="F105" s="7" t="n">
        <x:f>IF(ISNUMBER('原数'!E8),'原数'!E8,"缺失")</x:f>
        <x:v>20545.06</x:v>
      </x:c>
      <x:c r="G105" s="7" t="n">
        <x:f>IF(ISNUMBER('原数'!F14),'原数'!F14,"缺失")</x:f>
        <x:v>36919.81</x:v>
      </x:c>
      <x:c r="H105" s="1" t="n">
        <x:f>IF(AND(ISNUMBER(F105),ISNUMBER(G105)),1,0)</x:f>
        <x:v>1</x:v>
      </x:c>
    </x:row>
    <x:row r="106" ht="22" customHeight="1">
      <x:c r="B106" s="1" t="str">
        <x:v>其他系列酒</x:v>
      </x:c>
      <x:c r="C106" s="1" t="n">
        <x:v>6</x:v>
      </x:c>
      <x:c r="D106" s="1" t="n">
        <x:f>'原数'!B9</x:f>
        <x:v>2019</x:v>
      </x:c>
      <x:c r="E106" s="1" t="n">
        <x:f>'原数'!B15</x:f>
        <x:v>2025</x:v>
      </x:c>
      <x:c r="F106" s="7" t="n">
        <x:f>IF(ISNUMBER('原数'!E9),'原数'!E9,"缺失")</x:f>
        <x:v>25122.02</x:v>
      </x:c>
      <x:c r="G106" s="7" t="n">
        <x:f>IF(ISNUMBER('原数'!F15),'原数'!F15,"缺失")</x:f>
        <x:v>38353.48</x:v>
      </x:c>
      <x:c r="H106" s="1" t="n">
        <x:f>IF(AND(ISNUMBER(F106),ISNUMBER(G106)),1,0)</x:f>
        <x:v>1</x:v>
      </x:c>
    </x:row>
    <x:row r="107" ht="22" customHeight="1">
      <x:c r="B107" s="1" t="str">
        <x:v>其他系列酒</x:v>
      </x:c>
      <x:c r="C107" s="1" t="n">
        <x:v>7</x:v>
      </x:c>
      <x:c r="D107" s="1" t="n">
        <x:f>'原数'!B6</x:f>
        <x:v>2016</x:v>
      </x:c>
      <x:c r="E107" s="1" t="n">
        <x:f>'原数'!B13</x:f>
        <x:v>2023</x:v>
      </x:c>
      <x:c r="F107" s="7" t="n">
        <x:f>IF(ISNUMBER('原数'!E6),'原数'!E6,"缺失")</x:f>
        <x:v>20575.44</x:v>
      </x:c>
      <x:c r="G107" s="7" t="n">
        <x:f>IF(ISNUMBER('原数'!F13),'原数'!F13,"缺失")</x:f>
        <x:v>31164.54</x:v>
      </x:c>
      <x:c r="H107" s="1" t="n">
        <x:f>IF(AND(ISNUMBER(F107),ISNUMBER(G107)),1,0)</x:f>
        <x:v>1</x:v>
      </x:c>
    </x:row>
    <x:row r="108" ht="22" customHeight="1">
      <x:c r="B108" s="1" t="str">
        <x:v>其他系列酒</x:v>
      </x:c>
      <x:c r="C108" s="1" t="n">
        <x:v>7</x:v>
      </x:c>
      <x:c r="D108" s="1" t="n">
        <x:f>'原数'!B7</x:f>
        <x:v>2017</x:v>
      </x:c>
      <x:c r="E108" s="1" t="n">
        <x:f>'原数'!B14</x:f>
        <x:v>2024</x:v>
      </x:c>
      <x:c r="F108" s="7" t="n">
        <x:f>IF(ISNUMBER('原数'!E7),'原数'!E7,"缺失")</x:f>
        <x:v>20959.02</x:v>
      </x:c>
      <x:c r="G108" s="7" t="n">
        <x:f>IF(ISNUMBER('原数'!F14),'原数'!F14,"缺失")</x:f>
        <x:v>36919.81</x:v>
      </x:c>
      <x:c r="H108" s="1" t="n">
        <x:f>IF(AND(ISNUMBER(F108),ISNUMBER(G108)),1,0)</x:f>
        <x:v>1</x:v>
      </x:c>
    </x:row>
    <x:row r="109" ht="22" customHeight="1">
      <x:c r="B109" s="1" t="str">
        <x:v>其他系列酒</x:v>
      </x:c>
      <x:c r="C109" s="1" t="n">
        <x:v>7</x:v>
      </x:c>
      <x:c r="D109" s="1" t="n">
        <x:f>'原数'!B8</x:f>
        <x:v>2018</x:v>
      </x:c>
      <x:c r="E109" s="1" t="n">
        <x:f>'原数'!B15</x:f>
        <x:v>2025</x:v>
      </x:c>
      <x:c r="F109" s="7" t="n">
        <x:f>IF(ISNUMBER('原数'!E8),'原数'!E8,"缺失")</x:f>
        <x:v>20545.06</x:v>
      </x:c>
      <x:c r="G109" s="7" t="n">
        <x:f>IF(ISNUMBER('原数'!F15),'原数'!F15,"缺失")</x:f>
        <x:v>38353.48</x:v>
      </x:c>
      <x:c r="H109" s="1" t="n">
        <x:f>IF(AND(ISNUMBER(F109),ISNUMBER(G109)),1,0)</x:f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C8D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6" hidden="0" customWidth="1"/>
    <x:col min="3" max="3" width="26" hidden="0" customWidth="1"/>
    <x:col min="4" max="4" width="34" hidden="0" customWidth="1"/>
    <x:col min="5" max="5" width="3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3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 ht="24" customHeight="1">
      <x:c r="B2" s="2" t="str">
        <x:v>贵州茅台产销存原数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B3" s="1" t="str">
        <x:v>FY2016—FY2025，数量吨；产品收入人民币元，空白表示本表未纳入有效原数。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B5" s="6" t="str">
        <x:v>年度</x:v>
      </x:c>
      <x:c r="C5" s="6" t="str">
        <x:v>茅台基酒产量</x:v>
      </x:c>
      <x:c r="D5" s="6" t="str">
        <x:v>茅台酒销量</x:v>
      </x:c>
      <x:c r="E5" s="6" t="str">
        <x:v>系列基酒产量</x:v>
      </x:c>
      <x:c r="F5" s="6" t="str">
        <x:v>系列酒销量</x:v>
      </x:c>
      <x:c r="G5" s="6" t="str">
        <x:v>成品库存</x:v>
      </x:c>
      <x:c r="H5" s="6" t="str">
        <x:v>半成品库存</x:v>
      </x:c>
      <x:c r="I5" s="6" t="str">
        <x:v>独立总库存</x:v>
      </x:c>
      <x:c r="J5" s="6" t="str">
        <x:v>茅台收入（元）</x:v>
      </x:c>
      <x:c r="K5" s="6" t="str">
        <x:v>来源编号</x:v>
      </x:c>
      <x:c r="L5" s="1"/>
      <x:c r="M5" s="1"/>
      <x:c r="N5" s="1"/>
    </x:row>
    <x:row r="6" ht="24" customHeight="1">
      <x:c r="B6" s="1" t="n">
        <x:v>2016</x:v>
      </x:c>
      <x:c r="C6" s="8" t="n">
        <x:v>39312.53</x:v>
      </x:c>
      <x:c r="D6" s="8" t="n">
        <x:v>22917.66</x:v>
      </x:c>
      <x:c r="E6" s="8" t="n">
        <x:v>20575.44</x:v>
      </x:c>
      <x:c r="F6" s="8" t="n">
        <x:v>14026.7</x:v>
      </x:c>
      <x:c r="G6" s="8" t="n">
        <x:v>16168.33</x:v>
      </x:c>
      <x:c r="H6" s="8" t="n">
        <x:v>236337.83</x:v>
      </x:c>
      <x:c r="I6" s="8" t="n">
        <x:v>252506.16</x:v>
      </x:c>
      <x:c r="J6" s="8"/>
      <x:c r="K6" s="1" t="str">
        <x:v>R2016-01—04</x:v>
      </x:c>
      <x:c r="L6" s="1"/>
      <x:c r="M6" s="1"/>
      <x:c r="N6" s="1"/>
    </x:row>
    <x:row r="7" ht="24" customHeight="1">
      <x:c r="B7" s="1" t="n">
        <x:v>2017</x:v>
      </x:c>
      <x:c r="C7" s="8" t="n">
        <x:v>42828.59</x:v>
      </x:c>
      <x:c r="D7" s="8" t="n">
        <x:v>30205.52</x:v>
      </x:c>
      <x:c r="E7" s="8" t="n">
        <x:v>20959.02</x:v>
      </x:c>
      <x:c r="F7" s="8" t="n">
        <x:v>29902.84</x:v>
      </x:c>
      <x:c r="G7" s="8" t="n">
        <x:v>13309.48</x:v>
      </x:c>
      <x:c r="H7" s="8" t="n">
        <x:v>222689.39</x:v>
      </x:c>
      <x:c r="I7" s="8" t="n">
        <x:v>235998.87</x:v>
      </x:c>
      <x:c r="J7" s="8"/>
      <x:c r="K7" s="1" t="str">
        <x:v>R2017-01；R2017-02</x:v>
      </x:c>
      <x:c r="L7" s="1"/>
      <x:c r="M7" s="1"/>
      <x:c r="N7" s="1"/>
    </x:row>
    <x:row r="8" ht="24" customHeight="1">
      <x:c r="B8" s="1" t="n">
        <x:v>2018</x:v>
      </x:c>
      <x:c r="C8" s="8" t="n">
        <x:v>49671.69</x:v>
      </x:c>
      <x:c r="D8" s="8" t="n">
        <x:v>32463.95</x:v>
      </x:c>
      <x:c r="E8" s="8" t="n">
        <x:v>20545.06</x:v>
      </x:c>
      <x:c r="F8" s="8" t="n">
        <x:v>29774.46</x:v>
      </x:c>
      <x:c r="G8" s="8" t="n">
        <x:v>14409.19</x:v>
      </x:c>
      <x:c r="H8" s="8" t="n">
        <x:v>222118.11</x:v>
      </x:c>
      <x:c r="I8" s="8" t="n">
        <x:v>236527.3</x:v>
      </x:c>
      <x:c r="J8" s="8"/>
      <x:c r="K8" s="1" t="str">
        <x:v>R2018-01；R2018-02</x:v>
      </x:c>
      <x:c r="L8" s="1"/>
      <x:c r="M8" s="1"/>
      <x:c r="N8" s="1"/>
    </x:row>
    <x:row r="9" ht="24" customHeight="1">
      <x:c r="B9" s="1" t="n">
        <x:v>2019</x:v>
      </x:c>
      <x:c r="C9" s="8" t="n">
        <x:v>49922.71</x:v>
      </x:c>
      <x:c r="D9" s="8" t="n">
        <x:v>34562.46</x:v>
      </x:c>
      <x:c r="E9" s="8" t="n">
        <x:v>25122.02</x:v>
      </x:c>
      <x:c r="F9" s="8" t="n">
        <x:v>30082.84</x:v>
      </x:c>
      <x:c r="G9" s="8" t="n">
        <x:v>11311.61</x:v>
      </x:c>
      <x:c r="H9" s="8" t="n">
        <x:v>230356.74</x:v>
      </x:c>
      <x:c r="I9" s="8" t="n">
        <x:v>241668.35</x:v>
      </x:c>
      <x:c r="J9" s="8"/>
      <x:c r="K9" s="1" t="str">
        <x:v>R2019-01；R2019-02</x:v>
      </x:c>
      <x:c r="L9" s="1"/>
      <x:c r="M9" s="1"/>
      <x:c r="N9" s="1"/>
    </x:row>
    <x:row r="10" ht="24" customHeight="1">
      <x:c r="B10" s="1" t="n">
        <x:v>2020</x:v>
      </x:c>
      <x:c r="C10" s="8" t="n">
        <x:v>50235.17</x:v>
      </x:c>
      <x:c r="D10" s="8" t="n">
        <x:v>34312.53</x:v>
      </x:c>
      <x:c r="E10" s="8" t="n">
        <x:v>24925.37</x:v>
      </x:c>
      <x:c r="F10" s="8" t="n">
        <x:v>29743.35</x:v>
      </x:c>
      <x:c r="G10" s="8" t="n">
        <x:v>8314.11</x:v>
      </x:c>
      <x:c r="H10" s="8" t="n">
        <x:v>240921.41</x:v>
      </x:c>
      <x:c r="I10" s="8" t="n">
        <x:v>249235.52</x:v>
      </x:c>
      <x:c r="J10" s="8" t="n">
        <x:v>84830936002.19</x:v>
      </x:c>
      <x:c r="K10" s="1" t="str">
        <x:v>L03-A2020-B；R2020-08</x:v>
      </x:c>
      <x:c r="L10" s="1"/>
      <x:c r="M10" s="1"/>
      <x:c r="N10" s="1"/>
    </x:row>
    <x:row r="11" ht="24" customHeight="1">
      <x:c r="B11" s="1" t="n">
        <x:v>2021</x:v>
      </x:c>
      <x:c r="C11" s="8" t="n">
        <x:v>56472.25</x:v>
      </x:c>
      <x:c r="D11" s="8" t="n">
        <x:v>36261.31</x:v>
      </x:c>
      <x:c r="E11" s="8" t="n">
        <x:v>28248.92</x:v>
      </x:c>
      <x:c r="F11" s="8" t="n">
        <x:v>30177.38</x:v>
      </x:c>
      <x:c r="G11" s="8" t="n">
        <x:v>10282.35</x:v>
      </x:c>
      <x:c r="H11" s="8" t="n">
        <x:v>250463.82</x:v>
      </x:c>
      <x:c r="I11" s="8" t="n">
        <x:v>260746.17</x:v>
      </x:c>
      <x:c r="J11" s="8" t="n">
        <x:v>93464512115.94</x:v>
      </x:c>
      <x:c r="K11" s="1" t="str">
        <x:v>L03-A2021-B；R2021-08</x:v>
      </x:c>
      <x:c r="L11" s="1"/>
      <x:c r="M11" s="1"/>
      <x:c r="N11" s="1"/>
    </x:row>
    <x:row r="12" ht="24" customHeight="1">
      <x:c r="B12" s="1" t="n">
        <x:v>2022</x:v>
      </x:c>
      <x:c r="C12" s="8" t="n">
        <x:v>56810.44</x:v>
      </x:c>
      <x:c r="D12" s="8" t="n">
        <x:v>37901.39</x:v>
      </x:c>
      <x:c r="E12" s="8" t="n">
        <x:v>35075.39</x:v>
      </x:c>
      <x:c r="F12" s="8" t="n">
        <x:v>30274.93</x:v>
      </x:c>
      <x:c r="G12" s="8" t="n">
        <x:v>12495.28</x:v>
      </x:c>
      <x:c r="H12" s="8" t="n">
        <x:v>264127.89</x:v>
      </x:c>
      <x:c r="I12" s="8" t="n">
        <x:v>276623.17</x:v>
      </x:c>
      <x:c r="J12" s="8" t="n">
        <x:v>107833685277.94</x:v>
      </x:c>
      <x:c r="K12" s="1" t="str">
        <x:v>L03-A2022-B；R2022-08</x:v>
      </x:c>
      <x:c r="L12" s="1"/>
      <x:c r="M12" s="1"/>
      <x:c r="N12" s="1"/>
    </x:row>
    <x:row r="13" ht="24" customHeight="1">
      <x:c r="B13" s="1" t="n">
        <x:v>2023</x:v>
      </x:c>
      <x:c r="C13" s="8" t="n">
        <x:v>57204.11</x:v>
      </x:c>
      <x:c r="D13" s="8" t="n">
        <x:v>42109.5</x:v>
      </x:c>
      <x:c r="E13" s="8" t="n">
        <x:v>42937.04</x:v>
      </x:c>
      <x:c r="F13" s="8" t="n">
        <x:v>31164.54</x:v>
      </x:c>
      <x:c r="G13" s="8" t="n">
        <x:v>13985.07</x:v>
      </x:c>
      <x:c r="H13" s="8" t="n">
        <x:v>279804.96</x:v>
      </x:c>
      <x:c r="I13" s="8" t="n">
        <x:v>293790.03</x:v>
      </x:c>
      <x:c r="J13" s="8" t="n">
        <x:v>126589066691.89</x:v>
      </x:c>
      <x:c r="K13" s="1" t="str">
        <x:v>L03-A2023-B；R2023-08</x:v>
      </x:c>
      <x:c r="L13" s="1"/>
      <x:c r="M13" s="1"/>
      <x:c r="N13" s="1"/>
    </x:row>
    <x:row r="14" ht="24" customHeight="1">
      <x:c r="B14" s="1" t="n">
        <x:v>2024</x:v>
      </x:c>
      <x:c r="C14" s="8" t="n">
        <x:v>56271.99</x:v>
      </x:c>
      <x:c r="D14" s="8" t="n">
        <x:v>46412.95</x:v>
      </x:c>
      <x:c r="E14" s="8" t="n">
        <x:v>48112.51</x:v>
      </x:c>
      <x:c r="F14" s="8" t="n">
        <x:v>36919.81</x:v>
      </x:c>
      <x:c r="G14" s="8" t="n">
        <x:v>17760</x:v>
      </x:c>
      <x:c r="H14" s="8" t="n">
        <x:v>292248.02</x:v>
      </x:c>
      <x:c r="I14" s="8" t="n">
        <x:v>310008.02</x:v>
      </x:c>
      <x:c r="J14" s="8" t="n">
        <x:v>145928075955.31</x:v>
      </x:c>
      <x:c r="K14" s="1" t="str">
        <x:v>L03-A2024-B；R2024-24</x:v>
      </x:c>
      <x:c r="L14" s="1"/>
      <x:c r="M14" s="1"/>
      <x:c r="N14" s="1"/>
    </x:row>
    <x:row r="15" ht="24" customHeight="1">
      <x:c r="B15" s="1" t="n">
        <x:v>2025</x:v>
      </x:c>
      <x:c r="C15" s="8" t="n">
        <x:v>58473.16</x:v>
      </x:c>
      <x:c r="D15" s="8" t="n">
        <x:v>46750.66</x:v>
      </x:c>
      <x:c r="E15" s="8" t="n">
        <x:v>57650.57</x:v>
      </x:c>
      <x:c r="F15" s="8" t="n">
        <x:v>38353.48</x:v>
      </x:c>
      <x:c r="G15" s="8" t="n">
        <x:v>24770.35</x:v>
      </x:c>
      <x:c r="H15" s="8" t="n">
        <x:v>315207.51</x:v>
      </x:c>
      <x:c r="I15" s="8" t="n">
        <x:v>339977.86</x:v>
      </x:c>
      <x:c r="J15" s="8" t="n">
        <x:v>146499906480.49</x:v>
      </x:c>
      <x:c r="K15" s="1" t="str">
        <x:v>R2025-01；R2025-02；R2025-03</x:v>
      </x:c>
      <x:c r="L15" s="1"/>
      <x:c r="M15" s="1"/>
      <x:c r="N15" s="1"/>
    </x:row>
    <x:row r="16" ht="24" customHeight="1"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B18" s="9" t="str">
        <x:v>来源：原件与核验入口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30" customHeight="1">
      <x:c r="B20" s="6" t="str">
        <x:v>年度</x:v>
      </x:c>
      <x:c r="C20" s="6" t="str">
        <x:v>原件名称</x:v>
      </x:c>
      <x:c r="D20" s="6" t="str">
        <x:v>页码／定位</x:v>
      </x:c>
      <x:c r="E20" s="6" t="str">
        <x:v>来源编号</x:v>
      </x:c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4" customHeight="1">
      <x:c r="B21" s="1" t="n">
        <x:v>2016</x:v>
      </x:c>
      <x:c r="C21" s="1" t="str">
        <x:v>贵州茅台2016年年度报告</x:v>
      </x:c>
      <x:c r="D21" s="1" t="str">
        <x:v>库存8/12，产销12</x:v>
      </x:c>
      <x:c r="E21" s="1" t="str">
        <x:v>R2016-01—04</x:v>
      </x:c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4" customHeight="1">
      <x:c r="B22" s="1" t="n">
        <x:v>2017</x:v>
      </x:c>
      <x:c r="C22" s="1" t="str">
        <x:v>贵州茅台2017年年度报告</x:v>
      </x:c>
      <x:c r="D22" s="1" t="str">
        <x:v>库存7/11，产销11</x:v>
      </x:c>
      <x:c r="E22" s="1" t="str">
        <x:v>R2017-01；R2017-02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B23" s="1" t="n">
        <x:v>2018</x:v>
      </x:c>
      <x:c r="C23" s="1" t="str">
        <x:v>贵州茅台2018年年度报告</x:v>
      </x:c>
      <x:c r="D23" s="1" t="str">
        <x:v>库存9/13-14，产销14</x:v>
      </x:c>
      <x:c r="E23" s="1" t="str">
        <x:v>R2018-01；R2018-02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4" customHeight="1">
      <x:c r="B24" s="1" t="n">
        <x:v>2019</x:v>
      </x:c>
      <x:c r="C24" s="1" t="str">
        <x:v>贵州茅台2019年年度报告</x:v>
      </x:c>
      <x:c r="D24" s="1" t="str">
        <x:v>库存9/13，产销13-14</x:v>
      </x:c>
      <x:c r="E24" s="1" t="str">
        <x:v>R2019-01；R2019-02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4" customHeight="1">
      <x:c r="B25" s="1" t="n">
        <x:v>2020</x:v>
      </x:c>
      <x:c r="C25" s="1" t="str">
        <x:v>贵州茅台2020年年度报告</x:v>
      </x:c>
      <x:c r="D25" s="1" t="str">
        <x:v>库存12，产销13，总量9</x:v>
      </x:c>
      <x:c r="E25" s="1" t="str">
        <x:v>L03-A2020-B；R2020-08</x:v>
      </x:c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B26" s="1" t="n">
        <x:v>2021</x:v>
      </x:c>
      <x:c r="C26" s="1" t="str">
        <x:v>贵州茅台2021年年度报告</x:v>
      </x:c>
      <x:c r="D26" s="1" t="str">
        <x:v>库存13，产销14，总量9</x:v>
      </x:c>
      <x:c r="E26" s="1" t="str">
        <x:v>L03-A2021-B；R2021-08</x:v>
      </x:c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B27" s="1" t="n">
        <x:v>2022</x:v>
      </x:c>
      <x:c r="C27" s="1" t="str">
        <x:v>贵州茅台2022年年度报告</x:v>
      </x:c>
      <x:c r="D27" s="1" t="str">
        <x:v>库存14，产销14-15，总量9</x:v>
      </x:c>
      <x:c r="E27" s="1" t="str">
        <x:v>L03-A2022-B；R2022-08</x:v>
      </x:c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B28" s="1" t="n">
        <x:v>2023</x:v>
      </x:c>
      <x:c r="C28" s="1" t="str">
        <x:v>贵州茅台2023年年度报告</x:v>
      </x:c>
      <x:c r="D28" s="1" t="str">
        <x:v>库存15，产销15，总量10</x:v>
      </x:c>
      <x:c r="E28" s="1" t="str">
        <x:v>L03-A2023-B；R2023-08</x:v>
      </x:c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B29" s="1" t="n">
        <x:v>2024</x:v>
      </x:c>
      <x:c r="C29" s="1" t="str">
        <x:v>贵州茅台2024年年度报告</x:v>
      </x:c>
      <x:c r="D29" s="1" t="str">
        <x:v>库存14，产销15，总量9-10</x:v>
      </x:c>
      <x:c r="E29" s="1" t="str">
        <x:v>L03-A2024-B；R2024-24</x:v>
      </x:c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B30" s="1" t="n">
        <x:v>2025</x:v>
      </x:c>
      <x:c r="C30" s="1" t="str">
        <x:v>贵州茅台2025年年度报告</x:v>
      </x:c>
      <x:c r="D30" s="1" t="str">
        <x:v>库存10/15-16，产销16，收入10</x:v>
      </x:c>
      <x:c r="E30" s="1" t="str">
        <x:v>R2025-01；R2025-02；R2025-03</x:v>
      </x:c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4" customHeight="1"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4" customHeight="1"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B33" s="1" t="str">
        <x:v>原件目录：sources/annual_reports/pdf；绑定与SHA见work/lag-20261022/calculations.json。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4" customHeight="1">
      <x:c r="B34" s="1" t="str">
        <x:v>B04已核独立总量；十年库存勾稽均为0吨。原数确认与公式复算分别记录。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B35" s="1" t="str">
        <x:v>原数按年度流量／期末存量分开；FY2025为新合同后验窗口，不回填FY2024信息集。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4" customHeight="1"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4" customHeight="1"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4" customHeight="1"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4" customHeight="1"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4" customHeight="1"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4" customHeight="1"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</x:sheetData>
  <x:pageMargins left="0.7" right="0.7" top="0.75" bottom="0.75" header="0.3" footer="0.3"/>
  <x:legacyDrawing xmlns:r="http://schemas.openxmlformats.org/officeDocument/2006/relationships" r:id="R639510564f384c14"/>
</x:worksheet>
</file>