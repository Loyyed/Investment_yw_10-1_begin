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712403f9c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金复算" sheetId="1" r:id="R0d3ee5d696ac494e"/>
    <x:sheet xmlns:r="http://schemas.openxmlformats.org/officeDocument/2006/relationships" name="资本代理" sheetId="2" r:id="R766cde3195c44d3e"/>
    <x:sheet xmlns:r="http://schemas.openxmlformats.org/officeDocument/2006/relationships" name="原数" sheetId="3" r:id="R48d06ed5cff043d9"/>
  </x:sheets>
</x:workbook>
</file>

<file path=xl/comments1.xml><?xml version="1.0" encoding="utf-8"?>
<x:comments xmlns:x="http://schemas.openxmlformats.org/spreadsheetml/2006/main">
  <x:authors>
    <x:author/>
  </x:authors>
  <x:commentList>
    <x:comment ref="B64" authorId="0">
      <x:text>
        <x:r>
          <x:t>原件：sources/annual_reports/pdf/600519_2024_贵州茅台_贵州茅台2024年年度报告_2025-04-03.pdf
SHA256：5299f4940e2ce4e91084b73dc457d558b9d335fa76fbfee6227e4254eb7f4a30
定位：PDF／报告63页
口径：人民币元；合并；酒类及其他业务，不含利息收入</x:t>
        </x:r>
      </x:text>
    </x:comment>
    <x:comment ref="B65" authorId="0">
      <x:text>
        <x:r>
          <x:t>原件：sources/annual_reports/pdf/600519_2007_贵州茅台_2007年年度报告_修订版_2008-03-17.pdf
SHA256：4cd6490380b4a722152303f52a6452cb462d66ac74852f1236dfebea0fb9f679
定位：PDF物理48页；印刷页与表头见B10 JSON
口径：公司2007年度会计政策变更说明；只核上述原文事实，调整金额不在本批确认范围</x:t>
        </x:r>
      </x:text>
    </x:comment>
    <x:comment ref="B66" authorId="0">
      <x:text>
        <x:r>
          <x:t>原件：sources/annual_reports/pdf/600519_2007_贵州茅台_2007年年度报告_修订版_2008-03-17.pdf
SHA256：4cd6490380b4a722152303f52a6452cb462d66ac74852f1236dfebea0fb9f679
定位：PDF物理30、31页；逐字段页/表头见B11 JSON
口径：人民币元；合并资产负债表期末余额，仅本年度末列，不核年初/比较列；科目账面余额，存货非吨数</x:t>
        </x:r>
      </x:text>
    </x:comment>
    <x:comment ref="B67" authorId="0">
      <x:text>
        <x:r>
          <x:t>原件：sources/annual_reports/pdf/600519_2007_贵州茅台_2007年年度报告_修订版_2008-03-17.pdf
SHA256：4cd6490380b4a722152303f52a6452cb462d66ac74852f1236dfebea0fb9f679
定位：PDF物理30页；逐字段页/表头见B11 JSON
口径：人民币元；合并资产负债表期末账面金额；不是新增现金支出或全部长期经营资产</x:t>
        </x:r>
      </x:text>
    </x:comment>
    <x:comment ref="B68" authorId="0">
      <x:text>
        <x:r>
          <x:t>原件：sources/annual_reports/pdf/600519_2007_贵州茅台_2007年年度报告_修订版_2008-03-17.pdf
SHA256：4cd6490380b4a722152303f52a6452cb462d66ac74852f1236dfebea0fb9f679
定位：PDF物理34页；逐字段页/表头见B11 JSON
口径：人民币元；合并利润表本期年度流量，非归母；三科目用途不同不加总</x:t>
        </x:r>
      </x:text>
    </x:comment>
    <x:comment ref="B69" authorId="0">
      <x:text>
        <x:r>
          <x:t>原件：sources/annual_reports/pdf/600519_2007_贵州茅台_2007年年度报告_修订版_2008-03-17.pdf
SHA256：4cd6490380b4a722152303f52a6452cb462d66ac74852f1236dfebea0fb9f679
定位：PDF物理30、31页；逐字段表头见B12 JSON
口径：人民币元；合并资产负债表年初余额列，作为上年末的本报告口径值；不与本年末列混用，不自动裁定与上年原年报完全一致</x:t>
        </x:r>
      </x:text>
    </x:comment>
    <x:comment ref="B70" authorId="0">
      <x:text>
        <x:r>
          <x:t>原件：sources/annual_reports/pdf/600519_2007_贵州茅台_2007年年度报告_修订版_2008-03-17.pdf
SHA256：4cd6490380b4a722152303f52a6452cb462d66ac74852f1236dfebea0fb9f679
定位：PDF物理30页；逐字段表头见B12 JSON
口径：人民币元；合并资产负债表年初余额列，作为上年末的本报告口径值；不与本年末列混用，不自动裁定与上年原年报完全一致</x:t>
        </x:r>
      </x:text>
    </x:comment>
    <x:comment ref="B71" authorId="0">
      <x:text>
        <x:r>
          <x:t>原件：sources/annual_reports/pdf/600519_2007_贵州茅台_2007年年度报告_修订版_2008-03-17.pdf
SHA256：4cd6490380b4a722152303f52a6452cb462d66ac74852f1236dfebea0fb9f679
定位：PDF物理34页；逐字段表头见B12 JSON
口径：人民币元；合并利润表本期年度流量；财务费用保留原负号，投资收益为原表金额，不预先认定均为利息或酒类收益</x:t>
        </x:r>
      </x:text>
    </x:comment>
    <x:comment ref="B72" authorId="0">
      <x:text>
        <x:r>
          <x:t>原件：sources/annual_reports/pdf/600519_2011_贵州茅台_2011年年度报告.pdf
SHA256：0b63ee70ae66fd908e8239c2745d8036a5f3a47be1e711f1f557fcd6ffbc6b1b
定位：PDF物理39、40页；逐字段页/表头见B11 JSON
口径：人民币元；合并资产负债表期末余额，仅本年度末列，不核年初/比较列；科目账面余额，存货非吨数</x:t>
        </x:r>
      </x:text>
    </x:comment>
    <x:comment ref="B73" authorId="0">
      <x:text>
        <x:r>
          <x:t>原件：sources/annual_reports/pdf/600519_2011_贵州茅台_2011年年度报告.pdf
SHA256：0b63ee70ae66fd908e8239c2745d8036a5f3a47be1e711f1f557fcd6ffbc6b1b
定位：PDF物理39、40页；逐字段页/表头见B11 JSON
口径：人民币元；合并资产负债表期末账面金额；不是新增现金支出或全部长期经营资产</x:t>
        </x:r>
      </x:text>
    </x:comment>
    <x:comment ref="B74" authorId="0">
      <x:text>
        <x:r>
          <x:t>原件：sources/annual_reports/pdf/600519_2011_贵州茅台_2011年年度报告.pdf
SHA256：0b63ee70ae66fd908e8239c2745d8036a5f3a47be1e711f1f557fcd6ffbc6b1b
定位：PDF物理44、45页；逐字段页/表头见B11 JSON
口径：人民币元；合并利润表本期年度流量，非归母；三科目用途不同不加总</x:t>
        </x:r>
      </x:text>
    </x:comment>
    <x:comment ref="B75" authorId="0">
      <x:text>
        <x:r>
          <x:t>原件：sources/annual_reports/pdf/600519_2011_贵州茅台_2011年年度报告.pdf
SHA256：0b63ee70ae66fd908e8239c2745d8036a5f3a47be1e711f1f557fcd6ffbc6b1b
定位：PDF物理39、40页；逐字段表头见B12 JSON
口径：人民币元；合并资产负债表年初余额列，作为上年末的本报告口径值；不与本年末列混用，不自动裁定与上年原年报完全一致</x:t>
        </x:r>
      </x:text>
    </x:comment>
    <x:comment ref="B76" authorId="0">
      <x:text>
        <x:r>
          <x:t>原件：sources/annual_reports/pdf/600519_2011_贵州茅台_2011年年度报告.pdf
SHA256：0b63ee70ae66fd908e8239c2745d8036a5f3a47be1e711f1f557fcd6ffbc6b1b
定位：PDF物理39、40页；逐字段表头见B12 JSON
口径：人民币元；合并资产负债表年初余额列，作为上年末的本报告口径值；不与本年末列混用，不自动裁定与上年原年报完全一致</x:t>
        </x:r>
      </x:text>
    </x:comment>
    <x:comment ref="B77" authorId="0">
      <x:text>
        <x:r>
          <x:t>原件：sources/annual_reports/pdf/600519_2011_贵州茅台_2011年年度报告.pdf
SHA256：0b63ee70ae66fd908e8239c2745d8036a5f3a47be1e711f1f557fcd6ffbc6b1b
定位：PDF物理44页；逐字段表头见B12 JSON
口径：人民币元；合并利润表本期年度流量；财务费用保留原负号，投资收益为原表金额，不预先认定均为利息或酒类收益</x:t>
        </x:r>
      </x:text>
    </x:comment>
    <x:comment ref="B78" authorId="0">
      <x:text>
        <x:r>
          <x:t>原件：sources/annual_reports/pdf/600519_2012_贵州茅台_2012年年度报告.pdf
SHA256：9a8faef737d4dd64e8260325247b8ffe77e5de506f4b23b046f28c0758377eae
定位：PDF物理67页；印刷页与表头见B10 JSON
口径：人民币元；2012年度合并范围变更及新纳入主体说明，PDF物理67页／印刷66页</x:t>
        </x:r>
      </x:text>
    </x:comment>
    <x:comment ref="B79" authorId="0">
      <x:text>
        <x:r>
          <x:t>原件：sources/annual_reports/pdf/600519_2013_贵州茅台_2013年年度报告.pdf
SHA256：26524de9281264e149c23bdc618a32820678c8d07c5dc7c88cbc7e19b3df0bff
定位：PDF物理90页；印刷页与表头见B10 JSON
口径：2013年报关联交易说明；PDF物理90页／印刷89页；仅核时间和事项，投资额不在本条确认范围</x:t>
        </x:r>
      </x:text>
    </x:comment>
    <x:comment ref="B80" authorId="0">
      <x:text>
        <x:r>
          <x:t>原件：sources/annual_reports/pdf/600519_2016_贵州茅台_2016年年度报告.pdf
SHA256：dd26d9e0017a938cb5e1aa0a830bab7502d0de1f85eb7c00abffb4888c8c20ad
定位：PDF／报告45页；合并利润表或合并附注/定义，见本行指标名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81" authorId="0">
      <x:text>
        <x:r>
          <x:t>原件：sources/annual_reports/pdf/600519_2016_贵州茅台_2016年年度报告.pdf
SHA256：dd26d9e0017a938cb5e1aa0a830bab7502d0de1f85eb7c00abffb4888c8c20ad
定位：PDF／报告41、46、48页；合并报表对应行或管理层说明，表头见B09 JSON
口径：人民币元；合并。净利润含少数股东损益，非归母；净利润/CFO/购建现金为年度流量，账面存货为年末存量，非吨数</x:t>
        </x:r>
      </x:text>
    </x:comment>
    <x:comment ref="B82" authorId="0">
      <x:text>
        <x:r>
          <x:t>原件：sources/annual_reports/pdf/600519_2017_贵州茅台_2017年年度报告.pdf
SHA256：b66a4641e5f2313ed7964e5bef0026021ff2164459d0e0615f1b4385ba1a78e3
定位：PDF／报告48—49页；合并利润表或合并附注/定义，见本行指标名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83" authorId="0">
      <x:text>
        <x:r>
          <x:t>原件：sources/annual_reports/pdf/600519_2017_贵州茅台_2017年年度报告.pdf
SHA256：b66a4641e5f2313ed7964e5bef0026021ff2164459d0e0615f1b4385ba1a78e3
定位：PDF／报告45、49、52页；合并报表对应行或管理层说明，表头见B09 JSON
口径：人民币元；合并。净利润含少数股东损益，非归母；净利润/CFO/购建现金为年度流量，账面存货为年末存量，非吨数</x:t>
        </x:r>
      </x:text>
    </x:comment>
    <x:comment ref="B84" authorId="0">
      <x:text>
        <x:r>
          <x:t>原件：sources/annual_reports/pdf/600519_2018_贵州茅台_2018年年度报告.pdf
SHA256：08728fc937836cfeed8e98aeda932da54c737efa6de4280ae001476c0e393dec
定位：PDF／报告55—56页；合并利润表或合并附注/定义，见本行指标名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85" authorId="0">
      <x:text>
        <x:r>
          <x:t>原件：sources/annual_reports/pdf/600519_2018_贵州茅台_2018年年度报告.pdf
SHA256：08728fc937836cfeed8e98aeda932da54c737efa6de4280ae001476c0e393dec
定位：PDF／报告52、56、58、59页；合并报表对应行或管理层说明，表头见B09 JSON
口径：人民币元；合并。净利润含少数股东损益，非归母；净利润/CFO/购建现金为年度流量，账面存货为年末存量，非吨数</x:t>
        </x:r>
      </x:text>
    </x:comment>
    <x:comment ref="B86" authorId="0">
      <x:text>
        <x:r>
          <x:t>原件：sources/annual_reports/pdf/600519_2019_贵州茅台_2019年年度报告.pdf
SHA256：2a2b384ab09a7bc295fd2e33b999acdf4212340b0141031c991060dea2fad03d
定位：PDF／报告56页；合并利润表或合并附注/定义，见本行指标名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87" authorId="0">
      <x:text>
        <x:r>
          <x:t>原件：sources/annual_reports/pdf/600519_2019_贵州茅台_2019年年度报告.pdf
SHA256：2a2b384ab09a7bc295fd2e33b999acdf4212340b0141031c991060dea2fad03d
定位：PDF／报告52、57、59、60页；合并报表对应行或管理层说明，表头见B09 JSON
口径：人民币元；合并。净利润含少数股东损益，非归母；净利润/CFO/购建现金为年度流量，账面存货为年末存量，非吨数</x:t>
        </x:r>
      </x:text>
    </x:comment>
    <x:comment ref="B88" authorId="0">
      <x:text>
        <x:r>
          <x:t>原件：sources/annual_reports/pdf/600519_2020_贵州茅台_贵州茅台2020年年度报告_2021-03-30.pdf
SHA256：464e4c179a18ebea566c5ddc5a4dbcfb83824227e9a10eb1ba0baa23c9d58d2c
定位：PDF／报告53页；合并利润表或合并附注/定义，见本行指标名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89" authorId="0">
      <x:text>
        <x:r>
          <x:t>原件：sources/annual_reports/pdf/600519_2020_贵州茅台_贵州茅台2020年年度报告_2021-03-30.pdf
SHA256：464e4c179a18ebea566c5ddc5a4dbcfb83824227e9a10eb1ba0baa23c9d58d2c
定位：PDF物理73、76页；印刷页与表头见B10 JSON
口径：2020重要会计政策变更、首次执行年初合并资产负债表调整说明；只核时间、重分类与不追溯原则，具体重分类金额待后续逐项</x:t>
        </x:r>
      </x:text>
    </x:comment>
    <x:comment ref="B90" authorId="0">
      <x:text>
        <x:r>
          <x:t>原件：sources/annual_reports/pdf/600519_2021_贵州茅台_贵州茅台2021年年度报告_2022-03-30.pdf
SHA256：f65effdde58bcea99fd6bdb53f61b31d5c432e6dfb2661e5caf05156a433ea5a
定位：PDF／报告54页；合并利润表或合并附注/定义，见本行指标名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91" authorId="0">
      <x:text>
        <x:r>
          <x:t>原件：sources/annual_reports/pdf/600519_2021_贵州茅台_贵州茅台2021年年度报告_2022-03-30.pdf
SHA256：f65effdde58bcea99fd6bdb53f61b31d5c432e6dfb2661e5caf05156a433ea5a
定位：PDF／报告50页；合并报表对应行或管理层说明，表头见B09 JSON
口径：人民币元；合并资产负债表存货账面金额、期末存量；不是成品/半成品库存吨数</x:t>
        </x:r>
      </x:text>
    </x:comment>
    <x:comment ref="B92" authorId="0">
      <x:text>
        <x:r>
          <x:t>原件：sources/annual_reports/pdf/600519_2022_贵州茅台_贵州茅台2022年年度报告_2023-03-30.pdf
SHA256：de394171306b9f2c7d79f54990de2a9e9c99feb54413150180179e24f0d83358
定位：PDF／报告58—59页；合并利润表或合并附注/定义，见本行指标名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93" authorId="0">
      <x:text>
        <x:r>
          <x:t>原件：sources/annual_reports/pdf/600519_2023_贵州茅台_贵州茅台2023年年度报告_2024-04-03.pdf
SHA256：2125ff97a452ea79b0d784e2432f7d224b6aecc330b644b593477d69e22f4ed1
定位：PDF／报告63页；合并利润表或合并附注/定义，见本行指标名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94" authorId="0">
      <x:text>
        <x:r>
          <x:t>原件：sources/annual_reports/pdf/600519_2023_贵州茅台_贵州茅台2023年年度报告_2024-04-03.pdf
SHA256：2125ff97a452ea79b0d784e2432f7d224b6aecc330b644b593477d69e22f4ed1
定位：PDF／报告59页；合并报表对应行或管理层说明，表头见B09 JSON
口径：人民币元；合并资产负债表存货账面金额、期末存量；不是成品/半成品库存吨数</x:t>
        </x:r>
      </x:text>
    </x:comment>
    <x:comment ref="B95" authorId="0">
      <x:text>
        <x:r>
          <x:t>原件：sources/annual_reports/pdf/600519_2025_贵州茅台_2025年年度报告.pdf
SHA256：474905deeaf0f875fc0a1b097a626c0c7852c427faadc5d7fc7816cbf45ea288
定位：PDF／报告65页；对应表名与行名见指标名称
口径：人民币元；合并现金流量表2025年度现金流出；表头64页</x:t>
        </x:r>
      </x:text>
    </x:comment>
    <x:comment ref="B96" authorId="0">
      <x:text>
        <x:r>
          <x:t>原件：sources/annual_reports/pdf/600519_2025_贵州茅台_2025年年度报告.pdf
SHA256：474905deeaf0f875fc0a1b097a626c0c7852c427faadc5d7fc7816cbf45ea288
定位：PDF／报告61页；合并利润表或合并附注/定义，见本行指标名
口径：人民币元；合并；年度发生额；营业收入为合并利润表“其中：营业收入”，不含单列金融利息；销售费用为同表费用，不是现金付款或渠道专属费用</x:t>
        </x:r>
      </x:text>
    </x:comment>
    <x:comment ref="B97" authorId="0">
      <x:text>
        <x:r>
          <x:t>原件：sources/annual_reports/pdf/600519_2025_贵州茅台_2025年年度报告.pdf
SHA256：474905deeaf0f875fc0a1b097a626c0c7852c427faadc5d7fc7816cbf45ea288
定位：PDF／报告62、65页；合并报表对应行或管理层说明，表头见B09 JSON
口径：人民币元；合并2025年度流量。净利润含少数股东，非归母；利润表头61页，现金流表头64页</x:t>
        </x:r>
      </x:text>
    </x:comment>
    <x:comment ref="B98" authorId="0">
      <x:text>
        <x:r>
          <x:t>原件：sources/annual_reports/pdf/600519_2025_贵州茅台_2025年年度报告.pdf
SHA256：474905deeaf0f875fc0a1b097a626c0c7852c427faadc5d7fc7816cbf45ea288
定位：PDF／报告57页；合并报表对应行或管理层说明，表头见B09 JSON
口径：人民币元；合并资产负债表存货账面金额、期末存量；不是成品/半成品库存吨数</x:t>
        </x:r>
      </x:text>
    </x:comment>
    <x:comment ref="B99" authorId="0">
      <x:text>
        <x:r>
          <x:t>原件：sources/annual_reports/pdf/600519_2025_贵州茅台_2025年年度报告.pdf
SHA256：474905deeaf0f875fc0a1b097a626c0c7852c427faadc5d7fc7816cbf45ea288
定位：PDF／报告10页；合并报表对应行或管理层说明，表头见B09 JSON
口径：公司管理层对2025经营活动现金流量净额变化的原文解释，不是新增财务金额</x:t>
        </x:r>
      </x:text>
    </x:comment>
    <x:comment ref="B100" authorId="0">
      <x:text>
        <x:r>
          <x:t>原件：sources/annual_reports/pdf/600519_2025_贵州茅台_2025年年度报告.pdf
SHA256：474905deeaf0f875fc0a1b097a626c0c7852c427faadc5d7fc7816cbf45ea288
定位：PDF物理115页；印刷页与表头见B10 JSON
口径：人民币元；合并现金流量表补充资料，本期金额2025年度；所有负号按原文保留，不取绝对值；只核本期列</x:t>
        </x:r>
      </x:text>
    </x:comment>
    <x:comment ref="B101" authorId="0">
      <x:text>
        <x:r>
          <x:t>原件：sources/annual_reports/pdf/600519_2025_贵州茅台_2025年年度报告.pdf
SHA256：474905deeaf0f875fc0a1b097a626c0c7852c427faadc5d7fc7816cbf45ea288
定位：PDF物理115页；印刷页与表头见B10 JSON
口径：人民币元；合并现金流量表补充资料，本期金额2025年度；所有负号按原文保留，不取绝对值；只核本期列</x:t>
        </x:r>
      </x:text>
    </x:comment>
    <x:comment ref="B102" authorId="0">
      <x:text>
        <x:r>
          <x:t>原件：sources/annual_reports/pdf/600519_2025_贵州茅台_2025年年度报告.pdf
SHA256：474905deeaf0f875fc0a1b097a626c0c7852c427faadc5d7fc7816cbf45ea288
定位：PDF物理115页；印刷页与表头见B10 JSON
口径：人民币元；合并现金流量表补充资料，本期金额2025年度；所有负号按原文保留，不取绝对值；只核本期列</x:t>
        </x:r>
      </x:text>
    </x:comment>
    <x:comment ref="B103" authorId="0">
      <x:text>
        <x:r>
          <x:t>原件：sources/annual_reports/pdf/600519_2025_贵州茅台_2025年年度报告.pdf
SHA256：474905deeaf0f875fc0a1b097a626c0c7852c427faadc5d7fc7816cbf45ea288
定位：PDF物理115页；印刷页与表头见B10 JSON
口径：人民币元；合并现金流量表补充资料，本期金额2025年度；所有负号按原文保留，不取绝对值；只核本期列</x:t>
        </x:r>
      </x:text>
    </x:comment>
    <x:comment ref="B104" authorId="0">
      <x:text>
        <x:r>
          <x:t>原件：sources/annual_reports/pdf/600519_2025_贵州茅台_2025年年度报告.pdf
SHA256：474905deeaf0f875fc0a1b097a626c0c7852c427faadc5d7fc7816cbf45ea288
定位：PDF物理115页；印刷页与表头见B10 JSON
口径：人民币元；合并现金流量表补充资料，本期金额2025年度；所有负号按原文保留，不取绝对值；只核本期列</x:t>
        </x:r>
      </x:text>
    </x:comment>
    <x:comment ref="B105" authorId="0">
      <x:text>
        <x:r>
          <x:t>原件：sources/annual_reports/pdf/600519_2020_贵州茅台_贵州茅台2020年年度报告_2021-03-30.pdf
SHA256：464e4c179a18ebea566c5ddc5a4dbcfb83824227e9a10eb1ba0baa23c9d58d2c
定位：年度现金组，合并利润表与现金流原表
口径：Agent年度组核准，非本人亲查事件；合并原数，非实体指标</x:t>
        </x:r>
      </x:text>
    </x:comment>
    <x:comment ref="B106" authorId="0">
      <x:text>
        <x:r>
          <x:t>原件：sources/annual_reports/pdf/600519_2021_贵州茅台_贵州茅台2021年年度报告_2022-03-30.pdf
SHA256：f65effdde58bcea99fd6bdb53f61b31d5c432e6dfb2661e5caf05156a433ea5a
定位：年度现金组，合并利润表与现金流原表
口径：Agent年度组核准，非本人亲查事件；合并原数，非实体指标</x:t>
        </x:r>
      </x:text>
    </x:comment>
    <x:comment ref="B107" authorId="0">
      <x:text>
        <x:r>
          <x:t>原件：sources/annual_reports/pdf/600519_2022_贵州茅台_贵州茅台2022年年度报告_2023-03-30.pdf
SHA256：de394171306b9f2c7d79f54990de2a9e9c99feb54413150180179e24f0d83358
定位：年度现金组，合并利润表与现金流原表
口径：Agent年度组核准，非本人亲查事件；合并原数，非实体指标</x:t>
        </x:r>
      </x:text>
    </x:comment>
    <x:comment ref="B108" authorId="0">
      <x:text>
        <x:r>
          <x:t>原件：sources/annual_reports/pdf/600519_2023_贵州茅台_贵州茅台2023年年度报告_2024-04-03.pdf
SHA256：2125ff97a452ea79b0d784e2432f7d224b6aecc330b644b593477d69e22f4ed1
定位：年度现金组，合并利润表与现金流原表
口径：Agent年度组核准，非本人亲查事件；合并原数，非实体指标</x:t>
        </x:r>
      </x:text>
    </x:comment>
    <x:comment ref="B109" authorId="0">
      <x:text>
        <x:r>
          <x:t>原件：sources/annual_reports/pdf/600519_2024_贵州茅台_贵州茅台2024年年度报告_2025-04-03.pdf
SHA256：5299f4940e2ce4e91084b73dc457d558b9d335fa76fbfee6227e4254eb7f4a30
定位：年度现金组，合并利润表与现金流原表
口径：Agent年度组核准，非本人亲查事件；合并原数，非实体指标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00"/>
    <x:numFmt numFmtId="202" formatCode="0.00%"/>
  </x:numFmts>
  <x:fonts count="8">
    <x:font>
      <x:sz val="11"/>
      <x:name val="Carlito"/>
    </x:font>
    <x:font>
      <x:sz val="11"/>
      <x:color rgb="FF172B4D"/>
      <x:name val="Microsoft YaHei"/>
    </x:font>
    <x:font>
      <x:b/>
      <x:sz val="17"/>
      <x:color rgb="FF263E5B"/>
      <x:name val="Microsoft YaHei"/>
    </x:font>
    <x:font>
      <x:i/>
      <x:sz val="11"/>
      <x:color rgb="FF52627A"/>
      <x:name val="Microsoft YaHei"/>
    </x:font>
    <x:font>
      <x:b/>
      <x:sz val="11"/>
      <x:color rgb="FFFFFFFF"/>
      <x:name val="Microsoft YaHei"/>
    </x:font>
    <x:font>
      <x:sz val="11"/>
      <x:color rgb="FF1B4B8A"/>
      <x:name val="Microsoft YaHei"/>
    </x:font>
    <x:font>
      <x:sz val="11"/>
      <x:color rgb="FF176148"/>
      <x:name val="Microsoft YaHei"/>
    </x:font>
    <x:font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/>
    <x:xf numFmtId="200" fontId="7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F2424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3855abe4749af" /><Relationship Type="http://schemas.openxmlformats.org/officeDocument/2006/relationships/theme" Target="/xl/theme/theme1.xml" Id="Rb72b4f944a6b41a8" /><Relationship Type="http://schemas.openxmlformats.org/officeDocument/2006/relationships/sharedStrings" Target="/xl/sharedStrings.xml" Id="R9ee3d1ee9a5140b8" /><Relationship Type="http://schemas.openxmlformats.org/officeDocument/2006/relationships/worksheet" Target="/xl/worksheets/sheet1.xml" Id="R0d3ee5d696ac494e" /><Relationship Type="http://schemas.openxmlformats.org/officeDocument/2006/relationships/worksheet" Target="/xl/worksheets/sheet2.xml" Id="R766cde3195c44d3e" /><Relationship Type="http://schemas.openxmlformats.org/officeDocument/2006/relationships/worksheet" Target="/xl/worksheets/sheet3.xml" Id="R48d06ed5cff043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7780c2648d14d06" /><Relationship Type="http://schemas.openxmlformats.org/officeDocument/2006/relationships/vmlDrawing" Target="/xl/drawings/vmldrawing.vml" Id="Rd5dd862bc4cf4ff4" /></Relationships>
</file>

<file path=xl/worksheets/sheet1.xml><?xml version="1.0" encoding="utf-8"?>
<x:worksheet xmlns:x="http://schemas.openxmlformats.org/spreadsheetml/2006/main">
  <x:sheetPr>
    <x:tabColor rgb="FF263E5B"/>
  </x:sheetPr>
  <x:sheetViews>
    <x:sheetView showGridLines="0" workbookViewId="0"/>
  </x:sheetViews>
  <x:sheetFormatPr defaultRowHeight="15"/>
  <x:cols>
    <x:col min="2" max="2" width="51" hidden="0" customWidth="1"/>
    <x:col min="3" max="3" width="27" hidden="0" customWidth="1"/>
    <x:col min="4" max="4" width="22" hidden="0" customWidth="1"/>
    <x:col min="5" max="5" width="24" hidden="0" customWidth="1"/>
    <x:col min="6" max="6" width="24" hidden="0" customWidth="1"/>
    <x:col min="7" max="7" width="20" hidden="0" customWidth="1"/>
    <x:col min="8" max="8" width="20" hidden="0" customWidth="1"/>
  </x:cols>
  <x:sheetData>
    <x:row r="2" ht="25" customHeight="1">
      <x:c r="B2" s="2" t="str">
        <x:v>贵州茅台合并现金复算</x:v>
      </x:c>
      <x:c r="C2" s="1"/>
      <x:c r="D2" s="1"/>
      <x:c r="E2" s="1"/>
      <x:c r="F2" s="1"/>
      <x:c r="G2" s="1"/>
      <x:c r="H2" s="1"/>
    </x:row>
    <x:row r="3" ht="25" customHeight="1">
      <x:c r="B3" s="3" t="str">
        <x:v>2016—2025，2025仅后验。现金剩余为CFO减购建现金，不命名FCFF。</x:v>
      </x:c>
      <x:c r="C3" s="1"/>
      <x:c r="D3" s="1"/>
      <x:c r="E3" s="1"/>
      <x:c r="F3" s="1"/>
      <x:c r="G3" s="1"/>
      <x:c r="H3" s="1"/>
    </x:row>
    <x:row r="4" ht="25" customHeight="1">
      <x:c r="B4" s="1"/>
      <x:c r="C4" s="1"/>
      <x:c r="D4" s="1"/>
      <x:c r="E4" s="1"/>
      <x:c r="F4" s="1"/>
      <x:c r="G4" s="1"/>
      <x:c r="H4" s="1"/>
    </x:row>
    <x:row r="5" ht="30" customHeight="1">
      <x:c r="B5" s="7" t="str">
        <x:v>年度</x:v>
      </x:c>
      <x:c r="C5" s="7" t="str">
        <x:v>CFO／净利润（倍）</x:v>
      </x:c>
      <x:c r="D5" s="7" t="str">
        <x:v>算术剩余（亿元）</x:v>
      </x:c>
      <x:c r="E5" s="7" t="str">
        <x:v>购建现金／收入</x:v>
      </x:c>
      <x:c r="F5" s="7" t="str">
        <x:v>账面存货／收入</x:v>
      </x:c>
      <x:c r="G5" s="1"/>
      <x:c r="H5" s="1"/>
    </x:row>
    <x:row r="6" ht="25" customHeight="1">
      <x:c r="B6" s="1" t="n">
        <x:f>'原数'!B6</x:f>
        <x:v>2016</x:v>
      </x:c>
      <x:c r="C6" s="13" t="n">
        <x:f>IF(AND(ISNUMBER('原数'!C6),ISNUMBER('原数'!D6),'原数'!C6&lt;&gt;0),'原数'!D6/'原数'!C6,"未计算")</x:f>
        <x:v>2.0886729727175215</x:v>
      </x:c>
      <x:c r="D6" s="14" t="n">
        <x:f>('原数'!D6-'原数'!E6)/100000000</x:f>
        <x:v>364.32071510130004</x:v>
      </x:c>
      <x:c r="E6" s="15" t="n">
        <x:f>IF(AND(ISNUMBER('原数'!F6),'原数'!F6&lt;&gt;0),'原数'!E6/'原数'!F6,"未计算")</x:f>
        <x:v>0.026225442701030197</x:v>
      </x:c>
      <x:c r="F6" s="15" t="n">
        <x:f>IF(AND(ISNUMBER('原数'!F6),'原数'!F6&lt;&gt;0),'原数'!G6/'原数'!F6,"未计算")</x:f>
        <x:v>0.5306507901077837</x:v>
      </x:c>
      <x:c r="G6" s="1"/>
      <x:c r="H6" s="1"/>
    </x:row>
    <x:row r="7" ht="25" customHeight="1">
      <x:c r="B7" s="1" t="n">
        <x:f>'原数'!B7</x:f>
        <x:v>2017</x:v>
      </x:c>
      <x:c r="C7" s="13" t="n">
        <x:f>IF(AND(ISNUMBER('原数'!C7),ISNUMBER('原数'!D7),'原数'!C7&lt;&gt;0),'原数'!D7/'原数'!C7,"未计算")</x:f>
        <x:v>0.7637286370639372</x:v>
      </x:c>
      <x:c r="D7" s="14" t="n">
        <x:f>('原数'!D7-'原数'!E7)/100000000</x:f>
        <x:v>210.2801889168</x:v>
      </x:c>
      <x:c r="E7" s="15" t="n">
        <x:f>IF(AND(ISNUMBER('原数'!F7),'原数'!F7&lt;&gt;0),'原数'!E7/'原数'!F7,"未计算")</x:f>
        <x:v>0.019324261782460484</x:v>
      </x:c>
      <x:c r="F7" s="15" t="n">
        <x:f>IF(AND(ISNUMBER('原数'!F7),'原数'!F7&lt;&gt;0),'原数'!G7/'原数'!F7,"未计算")</x:f>
        <x:v>0.37887824936453474</x:v>
      </x:c>
      <x:c r="G7" s="1"/>
      <x:c r="H7" s="1"/>
    </x:row>
    <x:row r="8" ht="25" customHeight="1">
      <x:c r="B8" s="1" t="n">
        <x:f>'原数'!B8</x:f>
        <x:v>2018</x:v>
      </x:c>
      <x:c r="C8" s="13" t="n">
        <x:f>IF(AND(ISNUMBER('原数'!C8),ISNUMBER('原数'!D8),'原数'!C8&lt;&gt;0),'原数'!D8/'原数'!C8,"未计算")</x:f>
        <x:v>1.0939902875246454</x:v>
      </x:c>
      <x:c r="D8" s="14" t="n">
        <x:f>('原数'!D8-'原数'!E8)/100000000</x:f>
        <x:v>397.7848418044</x:v>
      </x:c>
      <x:c r="E8" s="15" t="n">
        <x:f>IF(AND(ISNUMBER('原数'!F8),'原数'!F8&lt;&gt;0),'原数'!E8/'原数'!F8,"未计算")</x:f>
        <x:v>0.02181932142868034</x:v>
      </x:c>
      <x:c r="F8" s="15" t="n">
        <x:f>IF(AND(ISNUMBER('原数'!F8),'原数'!F8&lt;&gt;0),'原数'!G8/'原数'!F8,"未计算")</x:f>
        <x:v>0.31921932099059486</x:v>
      </x:c>
      <x:c r="G8" s="1"/>
      <x:c r="H8" s="1"/>
    </x:row>
    <x:row r="9" ht="25" customHeight="1">
      <x:c r="B9" s="1" t="n">
        <x:f>'原数'!B9</x:f>
        <x:v>2019</x:v>
      </x:c>
      <x:c r="C9" s="13" t="n">
        <x:f>IF(AND(ISNUMBER('原数'!C9),ISNUMBER('原数'!D9),'原数'!C9&lt;&gt;0),'原数'!D9/'原数'!C9,"未计算")</x:f>
        <x:v>1.0282149606024416</x:v>
      </x:c>
      <x:c r="D9" s="14" t="n">
        <x:f>('原数'!D9-'原数'!E9)/100000000</x:f>
        <x:v>420.6174797118</x:v>
      </x:c>
      <x:c r="E9" s="15" t="n">
        <x:f>IF(AND(ISNUMBER('原数'!F9),'原数'!F9&lt;&gt;0),'原数'!E9/'原数'!F9,"未计算")</x:f>
        <x:v>0.03685918744036734</x:v>
      </x:c>
      <x:c r="F9" s="15" t="n">
        <x:f>IF(AND(ISNUMBER('原数'!F9),'原数'!F9&lt;&gt;0),'原数'!G9/'原数'!F9,"未计算")</x:f>
        <x:v>0.2959738622132199</x:v>
      </x:c>
      <x:c r="G9" s="1"/>
      <x:c r="H9" s="1"/>
    </x:row>
    <x:row r="10" ht="25" customHeight="1">
      <x:c r="B10" s="1" t="n">
        <x:f>'原数'!B10</x:f>
        <x:v>2020</x:v>
      </x:c>
      <x:c r="C10" s="13" t="n">
        <x:f>IF(AND(ISNUMBER('原数'!C10),ISNUMBER('原数'!D10),'原数'!C10&lt;&gt;0),'原数'!D10/'原数'!C10,"未计算")</x:f>
        <x:v>1.0433278379245772</x:v>
      </x:c>
      <x:c r="D10" s="14" t="n">
        <x:f>('原数'!D10-'原数'!E10)/100000000</x:f>
        <x:v>495.7929919425</x:v>
      </x:c>
      <x:c r="E10" s="15" t="n">
        <x:f>IF(AND(ISNUMBER('原数'!F10),'原数'!F10&lt;&gt;0),'原数'!E10/'原数'!F10,"未计算")</x:f>
        <x:v>0.022017184976727756</x:v>
      </x:c>
      <x:c r="F10" s="15" t="n">
        <x:f>IF(AND(ISNUMBER('原数'!F10),'原数'!F10&lt;&gt;0),'原数'!G10/'原数'!F10,"未计算")</x:f>
        <x:v>0.30415605352087366</x:v>
      </x:c>
      <x:c r="G10" s="1"/>
      <x:c r="H10" s="1"/>
    </x:row>
    <x:row r="11" ht="25" customHeight="1">
      <x:c r="B11" s="1" t="n">
        <x:f>'原数'!B11</x:f>
        <x:v>2021</x:v>
      </x:c>
      <x:c r="C11" s="13" t="n">
        <x:f>IF(AND(ISNUMBER('原数'!C11),ISNUMBER('原数'!D11),'原数'!C11&lt;&gt;0),'原数'!D11/'原数'!C11,"未计算")</x:f>
        <x:v>1.1491038616718467</x:v>
      </x:c>
      <x:c r="D11" s="14" t="n">
        <x:f>('原数'!D11-'原数'!E11)/100000000</x:f>
        <x:v>606.1989161536</x:v>
      </x:c>
      <x:c r="E11" s="15" t="n">
        <x:f>IF(AND(ISNUMBER('原数'!F11),'原数'!F11&lt;&gt;0),'原数'!E11/'原数'!F11,"未计算")</x:f>
        <x:v>0.03210075865343094</x:v>
      </x:c>
      <x:c r="F11" s="15" t="n">
        <x:f>IF(AND(ISNUMBER('原数'!F11),'原数'!F11&lt;&gt;0),'原数'!G11/'原数'!F11,"未计算")</x:f>
        <x:v>0.31447703540845096</x:v>
      </x:c>
      <x:c r="G11" s="1"/>
      <x:c r="H11" s="1"/>
    </x:row>
    <x:row r="12" ht="25" customHeight="1">
      <x:c r="B12" s="1" t="n">
        <x:f>'原数'!B12</x:f>
        <x:v>2022</x:v>
      </x:c>
      <x:c r="C12" s="13" t="n">
        <x:f>IF(AND(ISNUMBER('原数'!C12),ISNUMBER('原数'!D12),'原数'!C12&lt;&gt;0),'原数'!D12/'原数'!C12,"未计算")</x:f>
        <x:v>0.5613540199688732</x:v>
      </x:c>
      <x:c r="D12" s="14" t="n">
        <x:f>('原数'!D12-'原数'!E12)/100000000</x:f>
        <x:v>313.92049413489997</x:v>
      </x:c>
      <x:c r="E12" s="15" t="n">
        <x:f>IF(AND(ISNUMBER('原数'!F12),'原数'!F12&lt;&gt;0),'原数'!E12/'原数'!F12,"未计算")</x:f>
        <x:v>0.0427602989274489</x:v>
      </x:c>
      <x:c r="F12" s="15" t="n">
        <x:f>IF(AND(ISNUMBER('原数'!F12),'原数'!F12&lt;&gt;0),'原数'!G12/'原数'!F12,"未计算")</x:f>
        <x:v>0.31284788970059013</x:v>
      </x:c>
      <x:c r="G12" s="1"/>
      <x:c r="H12" s="1"/>
    </x:row>
    <x:row r="13" ht="25" customHeight="1">
      <x:c r="B13" s="1" t="n">
        <x:f>'原数'!B13</x:f>
        <x:v>2023</x:v>
      </x:c>
      <x:c r="C13" s="13" t="n">
        <x:f>IF(AND(ISNUMBER('原数'!C13),ISNUMBER('原数'!D13),'原数'!C13&lt;&gt;0),'原数'!D13/'原数'!C13,"未计算")</x:f>
        <x:v>0.8590296640178982</x:v>
      </x:c>
      <x:c r="D13" s="14" t="n">
        <x:f>('原数'!D13-'原数'!E13)/100000000</x:f>
        <x:v>639.734918323</x:v>
      </x:c>
      <x:c r="E13" s="15" t="n">
        <x:f>IF(AND(ISNUMBER('原数'!F13),'原数'!F13&lt;&gt;0),'原数'!E13/'原数'!F13,"未计算")</x:f>
        <x:v>0.017737774691693273</x:v>
      </x:c>
      <x:c r="F13" s="15" t="n">
        <x:f>IF(AND(ISNUMBER('原数'!F13),'原数'!F13&lt;&gt;0),'原数'!G13/'原数'!F13,"未计算")</x:f>
        <x:v>0.314402137204061</x:v>
      </x:c>
      <x:c r="G13" s="1"/>
      <x:c r="H13" s="1"/>
    </x:row>
    <x:row r="14" ht="25" customHeight="1">
      <x:c r="B14" s="1" t="n">
        <x:f>'原数'!B14</x:f>
        <x:v>2024</x:v>
      </x:c>
      <x:c r="C14" s="13" t="n">
        <x:f>IF(AND(ISNUMBER('原数'!C14),ISNUMBER('原数'!D14),'原数'!C14&lt;&gt;0),'原数'!D14/'原数'!C14,"未计算")</x:f>
        <x:v>1.0350251711923593</x:v>
      </x:c>
      <x:c r="D14" s="14" t="n">
        <x:f>('原数'!D14-'原数'!E14)/100000000</x:f>
        <x:v>877.8498011487</x:v>
      </x:c>
      <x:c r="E14" s="15" t="n">
        <x:f>IF(AND(ISNUMBER('原数'!F14),'原数'!F14&lt;&gt;0),'原数'!E14/'原数'!F14,"未计算")</x:f>
        <x:v>0.027377034884261044</x:v>
      </x:c>
      <x:c r="F14" s="15" t="n">
        <x:f>IF(AND(ISNUMBER('原数'!F14),'原数'!F14&lt;&gt;0),'原数'!G14/'原数'!F14,"未计算")</x:f>
        <x:v>0.31798452147731054</x:v>
      </x:c>
      <x:c r="G14" s="1"/>
      <x:c r="H14" s="1"/>
    </x:row>
    <x:row r="15" ht="25" customHeight="1">
      <x:c r="B15" s="1" t="n">
        <x:f>'原数'!B15</x:f>
        <x:v>2025</x:v>
      </x:c>
      <x:c r="C15" s="13" t="n">
        <x:f>IF(AND(ISNUMBER('原数'!C15),ISNUMBER('原数'!D15),'原数'!C15&lt;&gt;0),'原数'!D15/'原数'!C15,"未计算")</x:f>
        <x:v>0.7211577861097138</x:v>
      </x:c>
      <x:c r="D15" s="14" t="n">
        <x:f>('原数'!D15-'原数'!E15)/100000000</x:f>
        <x:v>583.9461007294</x:v>
      </x:c>
      <x:c r="E15" s="15" t="n">
        <x:f>IF(AND(ISNUMBER('原数'!F15),'原数'!F15&lt;&gt;0),'原数'!E15/'原数'!F15,"未计算")</x:f>
        <x:v>0.018524224507533934</x:v>
      </x:c>
      <x:c r="F15" s="15" t="n">
        <x:f>IF(AND(ISNUMBER('原数'!F15),'原数'!F15&lt;&gt;0),'原数'!G15/'原数'!F15,"未计算")</x:f>
        <x:v>0.36382440267474003</x:v>
      </x:c>
      <x:c r="G15" s="1"/>
      <x:c r="H15" s="1"/>
    </x:row>
    <x:row r="16" ht="25" customHeight="1">
      <x:c r="B16" s="1"/>
      <x:c r="C16" s="1"/>
      <x:c r="D16" s="1"/>
      <x:c r="E16" s="1"/>
      <x:c r="F16" s="1"/>
      <x:c r="G16" s="1"/>
      <x:c r="H16" s="1"/>
    </x:row>
    <x:row r="17" ht="25" customHeight="1">
      <x:c r="B17" s="1"/>
      <x:c r="C17" s="1"/>
      <x:c r="D17" s="1"/>
      <x:c r="E17" s="1"/>
      <x:c r="F17" s="1"/>
      <x:c r="G17" s="1"/>
      <x:c r="H17" s="1"/>
    </x:row>
    <x:row r="18" ht="25" customHeight="1">
      <x:c r="B18" s="1"/>
      <x:c r="C18" s="1"/>
      <x:c r="D18" s="1"/>
      <x:c r="E18" s="1"/>
      <x:c r="F18" s="1"/>
      <x:c r="G18" s="1"/>
      <x:c r="H18" s="1"/>
    </x:row>
    <x:row r="19" ht="25" customHeight="1">
      <x:c r="B19" s="1" t="str">
        <x:v>2025净利润到经营现金调节</x:v>
      </x:c>
      <x:c r="C19" s="1"/>
      <x:c r="D19" s="1"/>
      <x:c r="E19" s="1"/>
      <x:c r="F19" s="1"/>
      <x:c r="G19" s="1"/>
      <x:c r="H19" s="1"/>
    </x:row>
    <x:row r="20" ht="25" customHeight="1">
      <x:c r="B20" s="1"/>
      <x:c r="C20" s="1"/>
      <x:c r="D20" s="1"/>
      <x:c r="E20" s="1"/>
      <x:c r="F20" s="1"/>
      <x:c r="G20" s="1"/>
      <x:c r="H20" s="1"/>
    </x:row>
    <x:row r="21" ht="30" customHeight="1">
      <x:c r="B21" s="7" t="str">
        <x:v>调节项目</x:v>
      </x:c>
      <x:c r="C21" s="7" t="str">
        <x:v>带符号金额（元）</x:v>
      </x:c>
      <x:c r="D21" s="7" t="str">
        <x:v>来源ID</x:v>
      </x:c>
      <x:c r="E21" s="1"/>
      <x:c r="F21" s="1"/>
      <x:c r="G21" s="1"/>
      <x:c r="H21" s="1"/>
    </x:row>
    <x:row r="22" ht="25" customHeight="1">
      <x:c r="B22" s="1" t="str">
        <x:f>'原数'!B21</x:f>
        <x:v>信用减值损失</x:v>
      </x:c>
      <x:c r="C22" s="14" t="n">
        <x:f>IF(ISNUMBER('原数'!C21),'原数'!C21,"原表空白")</x:f>
        <x:v>-17234379.37</x:v>
      </x:c>
      <x:c r="D22" s="16" t="str">
        <x:f>'原数'!D21</x:f>
        <x:v>R2025-24</x:v>
      </x:c>
      <x:c r="E22" s="1"/>
      <x:c r="F22" s="1"/>
      <x:c r="G22" s="1"/>
      <x:c r="H22" s="1"/>
    </x:row>
    <x:row r="23" ht="25" customHeight="1">
      <x:c r="B23" s="1" t="str">
        <x:f>'原数'!B22</x:f>
        <x:v>资产减值准备</x:v>
      </x:c>
      <x:c r="C23" s="14" t="str">
        <x:f>IF(ISNUMBER('原数'!C22),'原数'!C22,"原表空白")</x:f>
        <x:v>原表空白</x:v>
      </x:c>
      <x:c r="D23" s="16" t="str">
        <x:f>'原数'!D22</x:f>
        <x:v>R2025-24</x:v>
      </x:c>
      <x:c r="E23" s="1"/>
      <x:c r="F23" s="1"/>
      <x:c r="G23" s="1"/>
      <x:c r="H23" s="1"/>
    </x:row>
    <x:row r="24" ht="25" customHeight="1">
      <x:c r="B24" s="1" t="str">
        <x:f>'原数'!B23</x:f>
        <x:v>其他</x:v>
      </x:c>
      <x:c r="C24" s="14" t="str">
        <x:f>IF(ISNUMBER('原数'!C23),'原数'!C23,"原表空白")</x:f>
        <x:v>原表空白</x:v>
      </x:c>
      <x:c r="D24" s="16" t="str">
        <x:f>'原数'!D23</x:f>
        <x:v>R2025-24</x:v>
      </x:c>
      <x:c r="E24" s="1"/>
      <x:c r="F24" s="1"/>
      <x:c r="G24" s="1"/>
      <x:c r="H24" s="1"/>
    </x:row>
    <x:row r="25" ht="25" customHeight="1">
      <x:c r="B25" s="1" t="str">
        <x:f>'原数'!B24</x:f>
        <x:v>固定资产折旧、油气资产折耗、生产性生物资产折旧</x:v>
      </x:c>
      <x:c r="C25" s="14" t="n">
        <x:f>IF(ISNUMBER('原数'!C24),'原数'!C24,"原表空白")</x:f>
        <x:v>1893338311.91</x:v>
      </x:c>
      <x:c r="D25" s="16" t="str">
        <x:f>'原数'!D24</x:f>
        <x:v>R2025-25</x:v>
      </x:c>
      <x:c r="E25" s="1"/>
      <x:c r="F25" s="1"/>
      <x:c r="G25" s="1"/>
      <x:c r="H25" s="1"/>
    </x:row>
    <x:row r="26" ht="25" customHeight="1">
      <x:c r="B26" s="1" t="str">
        <x:f>'原数'!B25</x:f>
        <x:v>使用权资产摊销</x:v>
      </x:c>
      <x:c r="C26" s="14" t="n">
        <x:f>IF(ISNUMBER('原数'!C25),'原数'!C25,"原表空白")</x:f>
        <x:v>55797324.89</x:v>
      </x:c>
      <x:c r="D26" s="16" t="str">
        <x:f>'原数'!D25</x:f>
        <x:v>R2025-25</x:v>
      </x:c>
      <x:c r="E26" s="1"/>
      <x:c r="F26" s="1"/>
      <x:c r="G26" s="1"/>
      <x:c r="H26" s="1"/>
    </x:row>
    <x:row r="27" ht="25" customHeight="1">
      <x:c r="B27" s="1" t="str">
        <x:f>'原数'!B26</x:f>
        <x:v>无形资产摊销</x:v>
      </x:c>
      <x:c r="C27" s="14" t="n">
        <x:f>IF(ISNUMBER('原数'!C26),'原数'!C26,"原表空白")</x:f>
        <x:v>289613682.99</x:v>
      </x:c>
      <x:c r="D27" s="16" t="str">
        <x:f>'原数'!D26</x:f>
        <x:v>R2025-25</x:v>
      </x:c>
      <x:c r="E27" s="1"/>
      <x:c r="F27" s="1"/>
      <x:c r="G27" s="1"/>
      <x:c r="H27" s="1"/>
    </x:row>
    <x:row r="28" ht="25" customHeight="1">
      <x:c r="B28" s="1" t="str">
        <x:f>'原数'!B27</x:f>
        <x:v>长期待摊费用摊销</x:v>
      </x:c>
      <x:c r="C28" s="14" t="n">
        <x:f>IF(ISNUMBER('原数'!C27),'原数'!C27,"原表空白")</x:f>
        <x:v>20637734.49</x:v>
      </x:c>
      <x:c r="D28" s="16" t="str">
        <x:f>'原数'!D27</x:f>
        <x:v>R2025-25</x:v>
      </x:c>
      <x:c r="E28" s="1"/>
      <x:c r="F28" s="1"/>
      <x:c r="G28" s="1"/>
      <x:c r="H28" s="1"/>
    </x:row>
    <x:row r="29" ht="25" customHeight="1">
      <x:c r="B29" s="1" t="str">
        <x:f>'原数'!B28</x:f>
        <x:v>处置固定资产、无形资产和其他长期资产的损失</x:v>
      </x:c>
      <x:c r="C29" s="14" t="n">
        <x:f>IF(ISNUMBER('原数'!C28),'原数'!C28,"原表空白")</x:f>
        <x:v>-3106625.19</x:v>
      </x:c>
      <x:c r="D29" s="16" t="str">
        <x:f>'原数'!D28</x:f>
        <x:v>R2025-26</x:v>
      </x:c>
      <x:c r="E29" s="1"/>
      <x:c r="F29" s="1"/>
      <x:c r="G29" s="1"/>
      <x:c r="H29" s="1"/>
    </x:row>
    <x:row r="30" ht="25" customHeight="1">
      <x:c r="B30" s="1" t="str">
        <x:f>'原数'!B29</x:f>
        <x:v>固定资产报废损失</x:v>
      </x:c>
      <x:c r="C30" s="14" t="n">
        <x:f>IF(ISNUMBER('原数'!C29),'原数'!C29,"原表空白")</x:f>
        <x:v>5491211.47</x:v>
      </x:c>
      <x:c r="D30" s="16" t="str">
        <x:f>'原数'!D29</x:f>
        <x:v>R2025-26</x:v>
      </x:c>
      <x:c r="E30" s="1"/>
      <x:c r="F30" s="1"/>
      <x:c r="G30" s="1"/>
      <x:c r="H30" s="1"/>
    </x:row>
    <x:row r="31" ht="25" customHeight="1">
      <x:c r="B31" s="1" t="str">
        <x:f>'原数'!B30</x:f>
        <x:v>公允价值变动损失</x:v>
      </x:c>
      <x:c r="C31" s="14" t="n">
        <x:f>IF(ISNUMBER('原数'!C30),'原数'!C30,"原表空白")</x:f>
        <x:v>-76162597.66</x:v>
      </x:c>
      <x:c r="D31" s="16" t="str">
        <x:f>'原数'!D30</x:f>
        <x:v>R2025-26</x:v>
      </x:c>
      <x:c r="E31" s="1"/>
      <x:c r="F31" s="1"/>
      <x:c r="G31" s="1"/>
      <x:c r="H31" s="1"/>
    </x:row>
    <x:row r="32" ht="25" customHeight="1">
      <x:c r="B32" s="1" t="str">
        <x:f>'原数'!B31</x:f>
        <x:v>财务费用</x:v>
      </x:c>
      <x:c r="C32" s="14" t="n">
        <x:f>IF(ISNUMBER('原数'!C31),'原数'!C31,"原表空白")</x:f>
        <x:v>28734948.29</x:v>
      </x:c>
      <x:c r="D32" s="16" t="str">
        <x:f>'原数'!D31</x:f>
        <x:v>R2025-26</x:v>
      </x:c>
      <x:c r="E32" s="1"/>
      <x:c r="F32" s="1"/>
      <x:c r="G32" s="1"/>
      <x:c r="H32" s="1"/>
    </x:row>
    <x:row r="33" ht="25" customHeight="1">
      <x:c r="B33" s="1" t="str">
        <x:f>'原数'!B32</x:f>
        <x:v>投资损失</x:v>
      </x:c>
      <x:c r="C33" s="14" t="n">
        <x:f>IF(ISNUMBER('原数'!C32),'原数'!C32,"原表空白")</x:f>
        <x:v>-561176.14</x:v>
      </x:c>
      <x:c r="D33" s="16" t="str">
        <x:f>'原数'!D32</x:f>
        <x:v>R2025-26</x:v>
      </x:c>
      <x:c r="E33" s="1"/>
      <x:c r="F33" s="1"/>
      <x:c r="G33" s="1"/>
      <x:c r="H33" s="1"/>
    </x:row>
    <x:row r="34" ht="25" customHeight="1">
      <x:c r="B34" s="1" t="str">
        <x:f>'原数'!B33</x:f>
        <x:v>递延所得税资产减少</x:v>
      </x:c>
      <x:c r="C34" s="14" t="n">
        <x:f>IF(ISNUMBER('原数'!C33),'原数'!C33,"原表空白")</x:f>
        <x:v>-1082462282.39</x:v>
      </x:c>
      <x:c r="D34" s="16" t="str">
        <x:f>'原数'!D33</x:f>
        <x:v>R2025-27</x:v>
      </x:c>
      <x:c r="E34" s="1"/>
      <x:c r="F34" s="1"/>
      <x:c r="G34" s="1"/>
      <x:c r="H34" s="1"/>
    </x:row>
    <x:row r="35" ht="25" customHeight="1">
      <x:c r="B35" s="1" t="str">
        <x:f>'原数'!B34</x:f>
        <x:v>递延所得税负债增加</x:v>
      </x:c>
      <x:c r="C35" s="14" t="n">
        <x:f>IF(ISNUMBER('原数'!C34),'原数'!C34,"原表空白")</x:f>
        <x:v>-27759411.59</x:v>
      </x:c>
      <x:c r="D35" s="16" t="str">
        <x:f>'原数'!D34</x:f>
        <x:v>R2025-27</x:v>
      </x:c>
      <x:c r="E35" s="1"/>
      <x:c r="F35" s="1"/>
      <x:c r="G35" s="1"/>
      <x:c r="H35" s="1"/>
    </x:row>
    <x:row r="36" ht="25" customHeight="1">
      <x:c r="B36" s="1" t="str">
        <x:f>'原数'!B35</x:f>
        <x:v>存货的减少</x:v>
      </x:c>
      <x:c r="C36" s="14" t="n">
        <x:f>IF(ISNUMBER('原数'!C35),'原数'!C35,"原表空白")</x:f>
        <x:v>-7084136638.71</x:v>
      </x:c>
      <x:c r="D36" s="16" t="str">
        <x:f>'原数'!D35</x:f>
        <x:v>R2025-28</x:v>
      </x:c>
      <x:c r="E36" s="1"/>
      <x:c r="F36" s="1"/>
      <x:c r="G36" s="1"/>
      <x:c r="H36" s="1"/>
    </x:row>
    <x:row r="37" ht="25" customHeight="1">
      <x:c r="B37" s="1" t="str">
        <x:f>'原数'!B36</x:f>
        <x:v>经营性应收项目的减少</x:v>
      </x:c>
      <x:c r="C37" s="14" t="n">
        <x:f>IF(ISNUMBER('原数'!C36),'原数'!C36,"原表空白")</x:f>
        <x:v>-10983881858.27</x:v>
      </x:c>
      <x:c r="D37" s="16" t="str">
        <x:f>'原数'!D36</x:f>
        <x:v>R2025-28</x:v>
      </x:c>
      <x:c r="E37" s="1"/>
      <x:c r="F37" s="1"/>
      <x:c r="G37" s="1"/>
      <x:c r="H37" s="1"/>
    </x:row>
    <x:row r="38" ht="25" customHeight="1">
      <x:c r="B38" s="1" t="str">
        <x:f>'原数'!B37</x:f>
        <x:v>经营性应付项目的增加</x:v>
      </x:c>
      <x:c r="C38" s="14" t="n">
        <x:f>IF(ISNUMBER('原数'!C37),'原数'!C37,"原表空白")</x:f>
        <x:v>-6806428089.04</x:v>
      </x:c>
      <x:c r="D38" s="16" t="str">
        <x:f>'原数'!D37</x:f>
        <x:v>R2025-28</x:v>
      </x:c>
      <x:c r="E38" s="1"/>
      <x:c r="F38" s="1"/>
      <x:c r="G38" s="1"/>
      <x:c r="H38" s="1"/>
    </x:row>
    <x:row r="39" ht="25" customHeight="1">
      <x:c r="B39" s="1"/>
      <x:c r="C39" s="14"/>
      <x:c r="D39" s="16"/>
      <x:c r="E39" s="1"/>
      <x:c r="F39" s="1"/>
      <x:c r="G39" s="1"/>
      <x:c r="H39" s="1"/>
    </x:row>
    <x:row r="40" ht="25" customHeight="1">
      <x:c r="B40" s="1" t="str">
        <x:v>合并净利润</x:v>
      </x:c>
      <x:c r="C40" s="14" t="n">
        <x:f>'原数'!C15</x:f>
        <x:v>85310324833.67</x:v>
      </x:c>
      <x:c r="D40" s="16"/>
      <x:c r="E40" s="1"/>
      <x:c r="F40" s="1"/>
      <x:c r="G40" s="1"/>
      <x:c r="H40" s="1"/>
    </x:row>
    <x:row r="41" ht="25" customHeight="1">
      <x:c r="B41" s="1" t="str">
        <x:v>已列调节合计</x:v>
      </x:c>
      <x:c r="C41" s="17" t="n">
        <x:f>SUM(C22:C38)</x:f>
        <x:v>-23788119844.32</x:v>
      </x:c>
      <x:c r="D41" s="16"/>
      <x:c r="E41" s="1"/>
      <x:c r="F41" s="1"/>
      <x:c r="G41" s="1"/>
      <x:c r="H41" s="1"/>
    </x:row>
    <x:row r="42" ht="25" customHeight="1">
      <x:c r="B42" s="1" t="str">
        <x:v>复算经营现金</x:v>
      </x:c>
      <x:c r="C42" s="17" t="n">
        <x:f>SUM(C40:C41)</x:f>
        <x:v>61522204989.35</x:v>
      </x:c>
      <x:c r="D42" s="16"/>
      <x:c r="E42" s="1"/>
      <x:c r="F42" s="1"/>
      <x:c r="G42" s="1"/>
      <x:c r="H42" s="1"/>
    </x:row>
    <x:row r="43" ht="25" customHeight="1">
      <x:c r="B43" s="1" t="str">
        <x:v>原表合并CFO</x:v>
      </x:c>
      <x:c r="C43" s="14" t="n">
        <x:f>'原数'!D15</x:f>
        <x:v>61522204989.35</x:v>
      </x:c>
      <x:c r="D43" s="16"/>
      <x:c r="E43" s="1"/>
      <x:c r="F43" s="1"/>
      <x:c r="G43" s="1"/>
      <x:c r="H43" s="1"/>
    </x:row>
    <x:row r="44" ht="25" customHeight="1">
      <x:c r="B44" s="1" t="str">
        <x:v>勾稽差额</x:v>
      </x:c>
      <x:c r="C44" s="8" t="n">
        <x:f>ROUND(C42-C43,2)</x:f>
        <x:v>0</x:v>
      </x:c>
      <x:c r="D44" s="1"/>
      <x:c r="E44" s="1"/>
      <x:c r="F44" s="1"/>
      <x:c r="G44" s="1"/>
      <x:c r="H44" s="1"/>
    </x:row>
    <x:row r="45" ht="25" customHeight="1">
      <x:c r="B45" s="1"/>
      <x:c r="C45" s="1"/>
      <x:c r="D45" s="1"/>
      <x:c r="E45" s="1"/>
      <x:c r="F45" s="1"/>
      <x:c r="G45" s="1"/>
      <x:c r="H45" s="1"/>
    </x:row>
    <x:row r="46" ht="25" customHeight="1">
      <x:c r="B46" s="3" t="str">
        <x:v>两处空白仅不产生加项。CFO已含这些调整，不再扣同一营运资本变化。</x:v>
      </x:c>
      <x:c r="C46" s="1"/>
      <x:c r="D46" s="1"/>
      <x:c r="E46" s="1"/>
      <x:c r="F46" s="1"/>
      <x:c r="G46" s="1"/>
      <x:c r="H46" s="1"/>
    </x:row>
    <x:row r="47" ht="25" customHeight="1">
      <x:c r="B47" s="1"/>
      <x:c r="C47" s="1"/>
      <x:c r="D47" s="1"/>
      <x:c r="E47" s="1"/>
      <x:c r="F47" s="1"/>
      <x:c r="G47" s="1"/>
      <x:c r="H47" s="1"/>
    </x:row>
    <x:row r="48" ht="25" customHeight="1">
      <x:c r="B48" s="1"/>
      <x:c r="C48" s="1"/>
      <x:c r="D48" s="1"/>
      <x:c r="E48" s="1"/>
      <x:c r="F48" s="1"/>
      <x:c r="G48" s="1"/>
      <x:c r="H48" s="1"/>
    </x:row>
    <x:row r="49" ht="25" customHeight="1">
      <x:c r="B49" s="1"/>
      <x:c r="C49" s="1"/>
      <x:c r="D49" s="1"/>
      <x:c r="E49" s="1"/>
      <x:c r="F49" s="1"/>
      <x:c r="G49" s="1"/>
      <x:c r="H49" s="1"/>
    </x:row>
    <x:row r="50" ht="25" customHeight="1">
      <x:c r="B50" s="1"/>
      <x:c r="C50" s="1"/>
      <x:c r="D50" s="1"/>
      <x:c r="E50" s="1"/>
      <x:c r="F50" s="1"/>
      <x:c r="G50" s="1"/>
      <x:c r="H50" s="1"/>
    </x:row>
    <x:row r="51" ht="25" customHeight="1">
      <x:c r="B51" s="1"/>
      <x:c r="C51" s="1"/>
      <x:c r="D51" s="1"/>
      <x:c r="E51" s="1"/>
      <x:c r="F51" s="1"/>
      <x:c r="G51" s="1"/>
      <x:c r="H51" s="1"/>
    </x:row>
    <x:row r="52" ht="25" customHeight="1">
      <x:c r="B52" s="1"/>
      <x:c r="C52" s="1"/>
      <x:c r="D52" s="1"/>
      <x:c r="E52" s="1"/>
      <x:c r="F52" s="1"/>
      <x:c r="G52" s="1"/>
      <x:c r="H52" s="1"/>
    </x:row>
    <x:row r="53" ht="25" customHeight="1">
      <x:c r="B53" s="1"/>
      <x:c r="C53" s="1"/>
      <x:c r="D53" s="1"/>
      <x:c r="E53" s="1"/>
      <x:c r="F53" s="1"/>
      <x:c r="G53" s="1"/>
      <x:c r="H53" s="1"/>
    </x:row>
    <x:row r="54" ht="25" customHeight="1">
      <x:c r="B54" s="1"/>
      <x:c r="C54" s="1"/>
      <x:c r="D54" s="1"/>
      <x:c r="E54" s="1"/>
      <x:c r="F54" s="1"/>
      <x:c r="G54" s="1"/>
      <x:c r="H54" s="1"/>
    </x:row>
    <x:row r="55" ht="25" customHeight="1">
      <x:c r="B55" s="1"/>
      <x:c r="C55" s="1"/>
      <x:c r="D55" s="1"/>
      <x:c r="E55" s="1"/>
      <x:c r="F55" s="1"/>
      <x:c r="G55" s="1"/>
      <x:c r="H55" s="1"/>
    </x:row>
    <x:row r="56" ht="25" customHeight="1">
      <x:c r="B56" s="1"/>
      <x:c r="C56" s="1"/>
      <x:c r="D56" s="1"/>
      <x:c r="E56" s="1"/>
      <x:c r="F56" s="1"/>
      <x:c r="G56" s="1"/>
      <x:c r="H56" s="1"/>
    </x:row>
    <x:row r="57" ht="25" customHeight="1">
      <x:c r="B57" s="1"/>
      <x:c r="C57" s="1"/>
      <x:c r="D57" s="1"/>
      <x:c r="E57" s="1"/>
      <x:c r="F57" s="1"/>
      <x:c r="G57" s="1"/>
      <x:c r="H57" s="1"/>
    </x:row>
    <x:row r="58" ht="25" customHeight="1">
      <x:c r="B58" s="1"/>
      <x:c r="C58" s="1"/>
      <x:c r="D58" s="1"/>
      <x:c r="E58" s="1"/>
      <x:c r="F58" s="1"/>
      <x:c r="G58" s="1"/>
      <x:c r="H58" s="1"/>
    </x:row>
    <x:row r="59" ht="25" customHeight="1">
      <x:c r="B59" s="1"/>
      <x:c r="C59" s="1"/>
      <x:c r="D59" s="1"/>
      <x:c r="E59" s="1"/>
      <x:c r="F59" s="1"/>
      <x:c r="G59" s="1"/>
      <x:c r="H59" s="1"/>
    </x:row>
    <x:row r="60" ht="25" customHeight="1">
      <x:c r="B60" s="1"/>
      <x:c r="C60" s="1"/>
      <x:c r="D60" s="1"/>
      <x:c r="E60" s="1"/>
      <x:c r="F60" s="1"/>
      <x:c r="G60" s="1"/>
      <x:c r="H60" s="1"/>
    </x:row>
    <x:row r="61" ht="25" customHeight="1">
      <x:c r="B61" s="1"/>
      <x:c r="C61" s="1"/>
      <x:c r="D61" s="1"/>
      <x:c r="E61" s="1"/>
      <x:c r="F61" s="1"/>
      <x:c r="G61" s="1"/>
      <x:c r="H61" s="1"/>
    </x:row>
    <x:row r="62" ht="25" customHeight="1">
      <x:c r="B62" s="1"/>
      <x:c r="C62" s="1"/>
      <x:c r="D62" s="1"/>
      <x:c r="E62" s="1"/>
      <x:c r="F62" s="1"/>
      <x:c r="G62" s="1"/>
      <x:c r="H62" s="1"/>
    </x:row>
    <x:row r="63" ht="25" customHeight="1">
      <x:c r="B63" s="1"/>
      <x:c r="C63" s="1"/>
      <x:c r="D63" s="1"/>
      <x:c r="E63" s="1"/>
      <x:c r="F63" s="1"/>
      <x:c r="G63" s="1"/>
      <x:c r="H63" s="1"/>
    </x:row>
    <x:row r="64" ht="25" customHeight="1">
      <x:c r="B64" s="1"/>
      <x:c r="C64" s="1"/>
      <x:c r="D64" s="1"/>
      <x:c r="E64" s="1"/>
      <x:c r="F64" s="1"/>
      <x:c r="G64" s="1"/>
      <x:c r="H64" s="1"/>
    </x:row>
  </x:sheetData>
  <x:conditionalFormatting sqref="C44:C44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D7592"/>
  </x:sheetPr>
  <x:sheetViews>
    <x:sheetView showGridLines="0" workbookViewId="0"/>
  </x:sheetViews>
  <x:sheetFormatPr defaultRowHeight="15"/>
  <x:cols>
    <x:col min="2" max="2" width="38" hidden="0" customWidth="1"/>
    <x:col min="3" max="3" width="27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2" ht="25" customHeight="1">
      <x:c r="B2" s="2" t="str">
        <x:v>贵州茅台选择性资本代理</x:v>
      </x:c>
      <x:c r="C2" s="1"/>
      <x:c r="D2" s="1"/>
      <x:c r="E2" s="1"/>
      <x:c r="F2" s="1"/>
      <x:c r="G2" s="1"/>
      <x:c r="H2" s="1"/>
    </x:row>
    <x:row r="3" ht="25" customHeight="1">
      <x:c r="B3" s="3" t="str">
        <x:v>附条件算术，科目范围待审阅。所有比率均不命名实体ROIC或成熟增量回报。</x:v>
      </x:c>
      <x:c r="C3" s="1"/>
      <x:c r="D3" s="1"/>
      <x:c r="E3" s="1"/>
      <x:c r="F3" s="1"/>
      <x:c r="G3" s="1"/>
      <x:c r="H3" s="1"/>
    </x:row>
    <x:row r="4" ht="25" customHeight="1">
      <x:c r="B4" s="1"/>
      <x:c r="C4" s="1"/>
      <x:c r="D4" s="1"/>
      <x:c r="E4" s="1"/>
      <x:c r="F4" s="1"/>
      <x:c r="G4" s="1"/>
      <x:c r="H4" s="1"/>
    </x:row>
    <x:row r="5" ht="30" customHeight="1">
      <x:c r="B5" s="7" t="str">
        <x:v>项目</x:v>
      </x:c>
      <x:c r="C5" s="7" t="str">
        <x:v>2007</x:v>
      </x:c>
      <x:c r="D5" s="7" t="str">
        <x:v>2011</x:v>
      </x:c>
      <x:c r="E5" s="1"/>
      <x:c r="F5" s="1"/>
      <x:c r="G5" s="1"/>
      <x:c r="H5" s="1"/>
    </x:row>
    <x:row r="6" ht="25" customHeight="1">
      <x:c r="B6" s="1" t="str">
        <x:v>年初选定NCWC</x:v>
      </x:c>
      <x:c r="C6" s="8" t="n">
        <x:f>SUM('原数'!D44:D47)-SUM('原数'!D48:D49)</x:f>
        <x:v>55332044.9199996</x:v>
      </x:c>
      <x:c r="D6" s="8" t="n">
        <x:f>SUM('原数'!F44:F47)-SUM('原数'!F48:F49)</x:f>
        <x:v>2339476767.6099997</x:v>
      </x:c>
      <x:c r="E6" s="1"/>
      <x:c r="F6" s="1"/>
      <x:c r="G6" s="1"/>
      <x:c r="H6" s="1"/>
    </x:row>
    <x:row r="7" ht="25" customHeight="1">
      <x:c r="B7" s="1" t="str">
        <x:v>年末选定NCWC</x:v>
      </x:c>
      <x:c r="C7" s="8" t="n">
        <x:f>SUM('原数'!C44:C47)-SUM('原数'!C48:C49)</x:f>
        <x:v>1274127789.1200001</x:v>
      </x:c>
      <x:c r="D7" s="8" t="n">
        <x:f>SUM('原数'!E44:E47)-SUM('原数'!E48:E49)</x:f>
        <x:v>2103479407.5899982</x:v>
      </x:c>
      <x:c r="E7" s="1"/>
      <x:c r="F7" s="1"/>
      <x:c r="G7" s="1"/>
      <x:c r="H7" s="1"/>
    </x:row>
    <x:row r="8" ht="25" customHeight="1">
      <x:c r="B8" s="1" t="str">
        <x:v>年初选定长期资本</x:v>
      </x:c>
      <x:c r="C8" s="8" t="n">
        <x:f>SUM('原数'!D50:D52)</x:f>
        <x:v>2468876186.06</x:v>
      </x:c>
      <x:c r="D8" s="8" t="n">
        <x:f>SUM('原数'!F50:F52)</x:f>
        <x:v>4907626792.79</x:v>
      </x:c>
      <x:c r="E8" s="1"/>
      <x:c r="F8" s="1"/>
      <x:c r="G8" s="1"/>
      <x:c r="H8" s="1"/>
    </x:row>
    <x:row r="9" ht="25" customHeight="1">
      <x:c r="B9" s="1" t="str">
        <x:v>年末选定长期资本</x:v>
      </x:c>
      <x:c r="C9" s="8" t="n">
        <x:f>SUM('原数'!C50:C52)</x:f>
        <x:v>3070710623.48</x:v>
      </x:c>
      <x:c r="D9" s="8" t="n">
        <x:f>SUM('原数'!E50:E52)</x:f>
        <x:v>6485884188.37</x:v>
      </x:c>
      <x:c r="E9" s="1"/>
      <x:c r="F9" s="1"/>
      <x:c r="G9" s="1"/>
      <x:c r="H9" s="1"/>
    </x:row>
    <x:row r="10" ht="25" customHeight="1">
      <x:c r="B10" s="1" t="str">
        <x:v>年初选定资本合计</x:v>
      </x:c>
      <x:c r="C10" s="8" t="n">
        <x:f>SUM(C6,C8)</x:f>
        <x:v>2524208230.9799995</x:v>
      </x:c>
      <x:c r="D10" s="8" t="n">
        <x:f>SUM(D6,D8)</x:f>
        <x:v>7247103560.4</x:v>
      </x:c>
      <x:c r="E10" s="1"/>
      <x:c r="F10" s="1"/>
      <x:c r="G10" s="1"/>
      <x:c r="H10" s="1"/>
    </x:row>
    <x:row r="11" ht="25" customHeight="1">
      <x:c r="B11" s="1" t="str">
        <x:v>年末选定资本合计</x:v>
      </x:c>
      <x:c r="C11" s="8" t="n">
        <x:f>SUM(C7,C9)</x:f>
        <x:v>4344838412.6</x:v>
      </x:c>
      <x:c r="D11" s="8" t="n">
        <x:f>SUM(D7,D9)</x:f>
        <x:v>8589363595.959998</x:v>
      </x:c>
      <x:c r="E11" s="1"/>
      <x:c r="F11" s="1"/>
      <x:c r="G11" s="1"/>
      <x:c r="H11" s="1"/>
    </x:row>
    <x:row r="12" ht="25" customHeight="1">
      <x:c r="B12" s="1" t="str">
        <x:v>平均选定资本</x:v>
      </x:c>
      <x:c r="C12" s="8" t="n">
        <x:f>AVERAGE(C10:C11)</x:f>
        <x:v>3434523321.79</x:v>
      </x:c>
      <x:c r="D12" s="8" t="n">
        <x:f>AVERAGE(D10:D11)</x:f>
        <x:v>7918233578.179998</x:v>
      </x:c>
      <x:c r="E12" s="1"/>
      <x:c r="F12" s="1"/>
      <x:c r="G12" s="1"/>
      <x:c r="H12" s="1"/>
    </x:row>
    <x:row r="13" ht="25" customHeight="1">
      <x:c r="B13" s="1" t="str">
        <x:v>报表有效税率</x:v>
      </x:c>
      <x:c r="C13" s="12" t="n">
        <x:f>'原数'!C58/'原数'!C57</x:f>
        <x:v>0.34408754960414534</x:v>
      </x:c>
      <x:c r="D13" s="12" t="n">
        <x:f>'原数'!D58/'原数'!D57</x:f>
        <x:v>0.25005444395745036</x:v>
      </x:c>
      <x:c r="E13" s="1"/>
      <x:c r="F13" s="1"/>
      <x:c r="G13" s="1"/>
      <x:c r="H13" s="1"/>
    </x:row>
    <x:row r="14" ht="25" customHeight="1">
      <x:c r="B14" s="1" t="str">
        <x:v>基准利润公式值</x:v>
      </x:c>
      <x:c r="C14" s="8" t="n">
        <x:f>'原数'!C56*(1-C13)</x:f>
        <x:v>2968227505.36747</x:v>
      </x:c>
      <x:c r="D14" s="8" t="n">
        <x:f>'原数'!D56*(1-D13)</x:f>
        <x:v>9251451689.19894</x:v>
      </x:c>
      <x:c r="E14" s="1"/>
      <x:c r="F14" s="1"/>
      <x:c r="G14" s="1"/>
      <x:c r="H14" s="1"/>
    </x:row>
    <x:row r="15" ht="25" customHeight="1">
      <x:c r="B15" s="1" t="str">
        <x:v>整行移除利润公式值</x:v>
      </x:c>
      <x:c r="C15" s="8" t="n">
        <x:f>('原数'!C56+'原数'!C59-'原数'!C60)*(1-C13)</x:f>
        <x:v>2937689025.202586</x:v>
      </x:c>
      <x:c r="D15" s="8" t="n">
        <x:f>('原数'!D56+'原数'!D59-'原数'!D60)*(1-D13)</x:f>
        <x:v>8985870096.992422</x:v>
      </x:c>
      <x:c r="E15" s="1"/>
      <x:c r="F15" s="1"/>
      <x:c r="G15" s="1"/>
      <x:c r="H15" s="1"/>
    </x:row>
    <x:row r="16" ht="25" customHeight="1">
      <x:c r="B16" s="1" t="str">
        <x:v>基准公式／平均资本</x:v>
      </x:c>
      <x:c r="C16" s="12" t="n">
        <x:f>IF(C12=0,"未计算",C14/C12)</x:f>
        <x:v>0.8642327412761586</x:v>
      </x:c>
      <x:c r="D16" s="12" t="n">
        <x:f>IF(D12=0,"未计算",D14/D12)</x:f>
        <x:v>1.1683731728617914</x:v>
      </x:c>
      <x:c r="E16" s="1"/>
      <x:c r="F16" s="1"/>
      <x:c r="G16" s="1"/>
      <x:c r="H16" s="1"/>
    </x:row>
    <x:row r="17" ht="25" customHeight="1">
      <x:c r="B17" s="1" t="str">
        <x:v>整行移除公式／平均资本</x:v>
      </x:c>
      <x:c r="C17" s="12" t="n">
        <x:f>IF(C12=0,"未计算",C15/C12)</x:f>
        <x:v>0.8553411201387695</x:v>
      </x:c>
      <x:c r="D17" s="12" t="n">
        <x:f>IF(D12=0,"未计算",D15/D12)</x:f>
        <x:v>1.1348326629002803</x:v>
      </x:c>
      <x:c r="E17" s="1"/>
      <x:c r="F17" s="1"/>
      <x:c r="G17" s="1"/>
      <x:c r="H17" s="1"/>
    </x:row>
    <x:row r="18" ht="25" customHeight="1">
      <x:c r="B18" s="1"/>
      <x:c r="C18" s="1"/>
      <x:c r="D18" s="1"/>
      <x:c r="E18" s="1"/>
      <x:c r="F18" s="1"/>
      <x:c r="G18" s="1"/>
      <x:c r="H18" s="1"/>
    </x:row>
    <x:row r="19" ht="25" customHeight="1">
      <x:c r="B19" s="1"/>
      <x:c r="C19" s="1"/>
      <x:c r="D19" s="1"/>
      <x:c r="E19" s="1"/>
      <x:c r="F19" s="1"/>
      <x:c r="G19" s="1"/>
      <x:c r="H19" s="1"/>
    </x:row>
    <x:row r="20" ht="25" customHeight="1">
      <x:c r="B20" s="1" t="str">
        <x:v>2007至2011两端差诊断（4年，未年化）</x:v>
      </x:c>
      <x:c r="C20" s="1"/>
      <x:c r="D20" s="1"/>
      <x:c r="E20" s="1"/>
      <x:c r="F20" s="1"/>
      <x:c r="G20" s="1"/>
      <x:c r="H20" s="1"/>
    </x:row>
    <x:row r="21" ht="25" customHeight="1">
      <x:c r="B21" s="1"/>
      <x:c r="C21" s="1"/>
      <x:c r="D21" s="1"/>
      <x:c r="E21" s="1"/>
      <x:c r="F21" s="1"/>
      <x:c r="G21" s="1"/>
      <x:c r="H21" s="1"/>
    </x:row>
    <x:row r="22" ht="25" customHeight="1">
      <x:c r="B22" s="1" t="str">
        <x:v>选定资本余额差</x:v>
      </x:c>
      <x:c r="C22" s="8" t="n">
        <x:f>D11-C11</x:f>
        <x:v>4244525183.3599977</x:v>
      </x:c>
      <x:c r="D22" s="1"/>
      <x:c r="E22" s="1"/>
      <x:c r="F22" s="1"/>
      <x:c r="G22" s="1"/>
      <x:c r="H22" s="1"/>
    </x:row>
    <x:row r="23" ht="25" customHeight="1">
      <x:c r="B23" s="1" t="str">
        <x:v>基准利润公式差</x:v>
      </x:c>
      <x:c r="C23" s="8" t="n">
        <x:f>D14-C14</x:f>
        <x:v>6283224183.8314705</x:v>
      </x:c>
      <x:c r="D23" s="1"/>
      <x:c r="E23" s="1"/>
      <x:c r="F23" s="1"/>
      <x:c r="G23" s="1"/>
      <x:c r="H23" s="1"/>
    </x:row>
    <x:row r="24" ht="25" customHeight="1">
      <x:c r="B24" s="1" t="str">
        <x:v>两端差相除（倍）</x:v>
      </x:c>
      <x:c r="C24" s="11" t="n">
        <x:f>IF(C22&lt;=0,"未计算",C23/C22)</x:f>
        <x:v>1.480312617407449</x:v>
      </x:c>
      <x:c r="D24" s="1"/>
      <x:c r="E24" s="1"/>
      <x:c r="F24" s="1"/>
      <x:c r="G24" s="1"/>
      <x:c r="H24" s="1"/>
    </x:row>
    <x:row r="25" ht="25" customHeight="1">
      <x:c r="B25" s="1" t="str">
        <x:v>整行移除公式差</x:v>
      </x:c>
      <x:c r="C25" s="8" t="n">
        <x:f>D15-C15</x:f>
        <x:v>6048181071.789836</x:v>
      </x:c>
      <x:c r="D25" s="1"/>
      <x:c r="E25" s="1"/>
      <x:c r="F25" s="1"/>
      <x:c r="G25" s="1"/>
      <x:c r="H25" s="1"/>
    </x:row>
    <x:row r="26" ht="25" customHeight="1">
      <x:c r="B26" s="1" t="str">
        <x:v>敏感性两端差相除（倍）</x:v>
      </x:c>
      <x:c r="C26" s="11" t="n">
        <x:f>IF(C22&lt;=0,"未计算",C25/C22)</x:f>
        <x:v>1.4249370213424086</x:v>
      </x:c>
      <x:c r="D26" s="1"/>
      <x:c r="E26" s="1"/>
      <x:c r="F26" s="1"/>
      <x:c r="G26" s="1"/>
      <x:c r="H26" s="1"/>
    </x:row>
    <x:row r="27" ht="25" customHeight="1">
      <x:c r="B27" s="1"/>
      <x:c r="C27" s="1"/>
      <x:c r="D27" s="1"/>
      <x:c r="E27" s="1"/>
      <x:c r="F27" s="1"/>
      <x:c r="G27" s="1"/>
      <x:c r="H27" s="1"/>
    </x:row>
    <x:row r="28" ht="25" customHeight="1">
      <x:c r="B28" s="1"/>
      <x:c r="C28" s="1"/>
      <x:c r="D28" s="1"/>
      <x:c r="E28" s="1"/>
      <x:c r="F28" s="1"/>
      <x:c r="G28" s="1"/>
      <x:c r="H28" s="1"/>
    </x:row>
    <x:row r="29" ht="25" customHeight="1">
      <x:c r="B29" s="1" t="str">
        <x:v>利润公式增量拆分（两路径平均）</x:v>
      </x:c>
      <x:c r="C29" s="1"/>
      <x:c r="D29" s="1"/>
      <x:c r="E29" s="1"/>
      <x:c r="F29" s="1"/>
      <x:c r="G29" s="1"/>
      <x:c r="H29" s="1"/>
    </x:row>
    <x:row r="30" ht="25" customHeight="1">
      <x:c r="B30" s="1" t="str">
        <x:v>营业利润因子</x:v>
      </x:c>
      <x:c r="C30" s="8" t="n">
        <x:f>('原数'!D56-'原数'!C56)*((1-C13)+(1-D13))/2</x:f>
        <x:v>5490454323.247407</x:v>
      </x:c>
      <x:c r="D30" s="1"/>
      <x:c r="E30" s="1"/>
      <x:c r="F30" s="1"/>
      <x:c r="G30" s="1"/>
      <x:c r="H30" s="1"/>
    </x:row>
    <x:row r="31" ht="25" customHeight="1">
      <x:c r="B31" s="1" t="str">
        <x:v>报表税率因子</x:v>
      </x:c>
      <x:c r="C31" s="8" t="n">
        <x:f>-(D13-C13)*('原数'!C56+'原数'!D56)/2</x:f>
        <x:v>792769860.584064</x:v>
      </x:c>
      <x:c r="D31" s="1"/>
      <x:c r="E31" s="1"/>
      <x:c r="F31" s="1"/>
      <x:c r="G31" s="1"/>
      <x:c r="H31" s="1"/>
    </x:row>
    <x:row r="32" ht="25" customHeight="1">
      <x:c r="B32" s="1" t="str">
        <x:v>公式分解残差</x:v>
      </x:c>
      <x:c r="C32" s="8" t="n">
        <x:f>ROUND(C23-SUM(C30:C31),2)</x:f>
        <x:v>0</x:v>
      </x:c>
      <x:c r="D32" s="1"/>
      <x:c r="E32" s="1"/>
      <x:c r="F32" s="1"/>
      <x:c r="G32" s="1"/>
      <x:c r="H32" s="1"/>
    </x:row>
    <x:row r="33" ht="25" customHeight="1">
      <x:c r="B33" s="1"/>
      <x:c r="C33" s="1"/>
      <x:c r="D33" s="1"/>
      <x:c r="E33" s="1"/>
      <x:c r="F33" s="1"/>
      <x:c r="G33" s="1"/>
      <x:c r="H33" s="1"/>
    </x:row>
    <x:row r="34" ht="25" customHeight="1">
      <x:c r="B34" s="1"/>
      <x:c r="C34" s="1"/>
      <x:c r="D34" s="1"/>
      <x:c r="E34" s="1"/>
      <x:c r="F34" s="1"/>
      <x:c r="G34" s="1"/>
      <x:c r="H34" s="1"/>
    </x:row>
    <x:row r="35" ht="25" customHeight="1">
      <x:c r="B35" s="3" t="str">
        <x:v>资本余额差不是累计现金再投资。4年端点不证明每笔投入已成熟。</x:v>
      </x:c>
      <x:c r="C35" s="1"/>
      <x:c r="D35" s="1"/>
      <x:c r="E35" s="1"/>
      <x:c r="F35" s="1"/>
      <x:c r="G35" s="1"/>
      <x:c r="H35" s="1"/>
    </x:row>
    <x:row r="36" ht="25" customHeight="1">
      <x:c r="B36" s="3" t="str">
        <x:v>财务费用整行移除不等于精准剔除存款利息。经营税率及完整资本仍未知。</x:v>
      </x:c>
      <x:c r="C36" s="1"/>
      <x:c r="D36" s="1"/>
      <x:c r="E36" s="1"/>
      <x:c r="F36" s="1"/>
      <x:c r="G36" s="1"/>
      <x:c r="H36" s="1"/>
    </x:row>
    <x:row r="37" ht="25" customHeight="1">
      <x:c r="B37" s="3" t="str">
        <x:v>2006基期来自2007新准则年初列，不当作2006旧准则原年报。</x:v>
      </x:c>
      <x:c r="C37" s="1"/>
      <x:c r="D37" s="1"/>
      <x:c r="E37" s="1"/>
      <x:c r="F37" s="1"/>
      <x:c r="G37" s="1"/>
      <x:c r="H37" s="1"/>
    </x:row>
    <x:row r="38" ht="25" customHeight="1">
      <x:c r="B38" s="1"/>
      <x:c r="C38" s="1"/>
      <x:c r="D38" s="1"/>
      <x:c r="E38" s="1"/>
      <x:c r="F38" s="1"/>
      <x:c r="G38" s="1"/>
      <x:c r="H38" s="1"/>
    </x:row>
    <x:row r="39" ht="25" customHeight="1">
      <x:c r="B39" s="1"/>
      <x:c r="C39" s="1"/>
      <x:c r="D39" s="1"/>
      <x:c r="E39" s="1"/>
      <x:c r="F39" s="1"/>
      <x:c r="G39" s="1"/>
      <x:c r="H39" s="1"/>
    </x:row>
    <x:row r="40" ht="25" customHeight="1">
      <x:c r="B40" s="1"/>
      <x:c r="C40" s="1"/>
      <x:c r="D40" s="1"/>
      <x:c r="E40" s="1"/>
      <x:c r="F40" s="1"/>
      <x:c r="G40" s="1"/>
      <x:c r="H40" s="1"/>
    </x:row>
    <x:row r="41" ht="25" customHeight="1">
      <x:c r="B41" s="1"/>
      <x:c r="C41" s="1"/>
      <x:c r="D41" s="1"/>
      <x:c r="E41" s="1"/>
      <x:c r="F41" s="1"/>
      <x:c r="G41" s="1"/>
      <x:c r="H41" s="1"/>
    </x:row>
    <x:row r="42" ht="25" customHeight="1">
      <x:c r="B42" s="1"/>
      <x:c r="C42" s="1"/>
      <x:c r="D42" s="1"/>
      <x:c r="E42" s="1"/>
      <x:c r="F42" s="1"/>
      <x:c r="G42" s="1"/>
      <x:c r="H42" s="1"/>
    </x:row>
    <x:row r="43" ht="25" customHeight="1">
      <x:c r="B43" s="1"/>
      <x:c r="C43" s="1"/>
      <x:c r="D43" s="1"/>
      <x:c r="E43" s="1"/>
      <x:c r="F43" s="1"/>
      <x:c r="G43" s="1"/>
      <x:c r="H43" s="1"/>
    </x:row>
    <x:row r="44" ht="25" customHeight="1">
      <x:c r="B44" s="1"/>
      <x:c r="C44" s="1"/>
      <x:c r="D44" s="1"/>
      <x:c r="E44" s="1"/>
      <x:c r="F44" s="1"/>
      <x:c r="G44" s="1"/>
      <x:c r="H44" s="1"/>
    </x:row>
    <x:row r="45" ht="25" customHeight="1">
      <x:c r="B45" s="1"/>
      <x:c r="C45" s="1"/>
      <x:c r="D45" s="1"/>
      <x:c r="E45" s="1"/>
      <x:c r="F45" s="1"/>
      <x:c r="G45" s="1"/>
      <x:c r="H45" s="1"/>
    </x:row>
    <x:row r="46" ht="25" customHeight="1">
      <x:c r="B46" s="1"/>
      <x:c r="C46" s="1"/>
      <x:c r="D46" s="1"/>
      <x:c r="E46" s="1"/>
      <x:c r="F46" s="1"/>
      <x:c r="G46" s="1"/>
      <x:c r="H46" s="1"/>
    </x:row>
    <x:row r="47" ht="25" customHeight="1">
      <x:c r="B47" s="1"/>
      <x:c r="C47" s="1"/>
      <x:c r="D47" s="1"/>
      <x:c r="E47" s="1"/>
      <x:c r="F47" s="1"/>
      <x:c r="G47" s="1"/>
      <x:c r="H47" s="1"/>
    </x:row>
    <x:row r="48" ht="25" customHeight="1">
      <x:c r="B48" s="1"/>
      <x:c r="C48" s="1"/>
      <x:c r="D48" s="1"/>
      <x:c r="E48" s="1"/>
      <x:c r="F48" s="1"/>
      <x:c r="G48" s="1"/>
      <x:c r="H48" s="1"/>
    </x:row>
    <x:row r="49" ht="25" customHeight="1">
      <x:c r="B49" s="1"/>
      <x:c r="C49" s="1"/>
      <x:c r="D49" s="1"/>
      <x:c r="E49" s="1"/>
      <x:c r="F49" s="1"/>
      <x:c r="G49" s="1"/>
      <x:c r="H49" s="1"/>
    </x:row>
    <x:row r="50" ht="25" customHeight="1">
      <x:c r="B50" s="1"/>
      <x:c r="C50" s="1"/>
      <x:c r="D50" s="1"/>
      <x:c r="E50" s="1"/>
      <x:c r="F50" s="1"/>
      <x:c r="G50" s="1"/>
      <x:c r="H50" s="1"/>
    </x:row>
    <x:row r="51" ht="25" customHeight="1">
      <x:c r="B51" s="1"/>
      <x:c r="C51" s="1"/>
      <x:c r="D51" s="1"/>
      <x:c r="E51" s="1"/>
      <x:c r="F51" s="1"/>
      <x:c r="G51" s="1"/>
      <x:c r="H51" s="1"/>
    </x:row>
    <x:row r="52" ht="25" customHeight="1">
      <x:c r="B52" s="1"/>
      <x:c r="C52" s="1"/>
      <x:c r="D52" s="1"/>
      <x:c r="E52" s="1"/>
      <x:c r="F52" s="1"/>
      <x:c r="G52" s="1"/>
      <x:c r="H52" s="1"/>
    </x:row>
    <x:row r="53" ht="25" customHeight="1">
      <x:c r="B53" s="1"/>
      <x:c r="C53" s="1"/>
      <x:c r="D53" s="1"/>
      <x:c r="E53" s="1"/>
      <x:c r="F53" s="1"/>
      <x:c r="G53" s="1"/>
      <x:c r="H53" s="1"/>
    </x:row>
    <x:row r="54" ht="25" customHeight="1">
      <x:c r="B54" s="1"/>
      <x:c r="C54" s="1"/>
      <x:c r="D54" s="1"/>
      <x:c r="E54" s="1"/>
      <x:c r="F54" s="1"/>
      <x:c r="G54" s="1"/>
      <x:c r="H54" s="1"/>
    </x:row>
    <x:row r="55" ht="25" customHeight="1">
      <x:c r="B55" s="1"/>
      <x:c r="C55" s="1"/>
      <x:c r="D55" s="1"/>
      <x:c r="E55" s="1"/>
      <x:c r="F55" s="1"/>
      <x:c r="G55" s="1"/>
      <x:c r="H55" s="1"/>
    </x:row>
    <x:row r="56" ht="25" customHeight="1">
      <x:c r="B56" s="1"/>
      <x:c r="C56" s="1"/>
      <x:c r="D56" s="1"/>
      <x:c r="E56" s="1"/>
      <x:c r="F56" s="1"/>
      <x:c r="G56" s="1"/>
      <x:c r="H56" s="1"/>
    </x:row>
    <x:row r="57" ht="25" customHeight="1">
      <x:c r="B57" s="1"/>
      <x:c r="C57" s="1"/>
      <x:c r="D57" s="1"/>
      <x:c r="E57" s="1"/>
      <x:c r="F57" s="1"/>
      <x:c r="G57" s="1"/>
      <x:c r="H57" s="1"/>
    </x:row>
    <x:row r="58" ht="25" customHeight="1">
      <x:c r="B58" s="1"/>
      <x:c r="C58" s="1"/>
      <x:c r="D58" s="1"/>
      <x:c r="E58" s="1"/>
      <x:c r="F58" s="1"/>
      <x:c r="G58" s="1"/>
      <x:c r="H58" s="1"/>
    </x:row>
    <x:row r="59" ht="25" customHeight="1">
      <x:c r="B59" s="1"/>
      <x:c r="C59" s="1"/>
      <x:c r="D59" s="1"/>
      <x:c r="E59" s="1"/>
      <x:c r="F59" s="1"/>
      <x:c r="G59" s="1"/>
      <x:c r="H59" s="1"/>
    </x:row>
    <x:row r="60" ht="25" customHeight="1">
      <x:c r="B60" s="1"/>
      <x:c r="C60" s="1"/>
      <x:c r="D60" s="1"/>
      <x:c r="E60" s="1"/>
      <x:c r="F60" s="1"/>
      <x:c r="G60" s="1"/>
      <x:c r="H60" s="1"/>
    </x:row>
    <x:row r="61" ht="25" customHeight="1">
      <x:c r="B61" s="1"/>
      <x:c r="C61" s="1"/>
      <x:c r="D61" s="1"/>
      <x:c r="E61" s="1"/>
      <x:c r="F61" s="1"/>
      <x:c r="G61" s="1"/>
      <x:c r="H61" s="1"/>
    </x:row>
    <x:row r="62" ht="25" customHeight="1">
      <x:c r="B62" s="1"/>
      <x:c r="C62" s="1"/>
      <x:c r="D62" s="1"/>
      <x:c r="E62" s="1"/>
      <x:c r="F62" s="1"/>
      <x:c r="G62" s="1"/>
      <x:c r="H62" s="1"/>
    </x:row>
    <x:row r="63" ht="25" customHeight="1">
      <x:c r="B63" s="1"/>
      <x:c r="C63" s="1"/>
      <x:c r="D63" s="1"/>
      <x:c r="E63" s="1"/>
      <x:c r="F63" s="1"/>
      <x:c r="G63" s="1"/>
      <x:c r="H63" s="1"/>
    </x:row>
    <x:row r="64" ht="25" customHeight="1">
      <x:c r="B64" s="1"/>
      <x:c r="C64" s="1"/>
      <x:c r="D64" s="1"/>
      <x:c r="E64" s="1"/>
      <x:c r="F64" s="1"/>
      <x:c r="G64" s="1"/>
      <x:c r="H6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7C9B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51" hidden="0" customWidth="1"/>
    <x:col min="3" max="3" width="24" hidden="0" customWidth="1"/>
    <x:col min="4" max="4" width="28" hidden="0" customWidth="1"/>
    <x:col min="5" max="5" width="24" hidden="0" customWidth="1"/>
    <x:col min="6" max="6" width="28" hidden="0" customWidth="1"/>
    <x:col min="7" max="7" width="24" hidden="0" customWidth="1"/>
    <x:col min="8" max="8" width="48" hidden="0" customWidth="1"/>
  </x:cols>
  <x:sheetData>
    <x:row r="2" ht="25" customHeight="1">
      <x:c r="B2" s="2" t="str">
        <x:v>贵州茅台现金与资本原数</x:v>
      </x:c>
      <x:c r="C2" s="1"/>
      <x:c r="D2" s="1"/>
      <x:c r="E2" s="1"/>
      <x:c r="F2" s="1"/>
      <x:c r="G2" s="1"/>
      <x:c r="H2" s="1"/>
    </x:row>
    <x:row r="3" ht="25" customHeight="1">
      <x:c r="B3" s="3" t="str">
        <x:v>金额人民币元。原数已核，派生公式未另经本人确认。蓝色为输入。</x:v>
      </x:c>
      <x:c r="C3" s="1"/>
      <x:c r="D3" s="1"/>
      <x:c r="E3" s="1"/>
      <x:c r="F3" s="1"/>
      <x:c r="G3" s="1"/>
      <x:c r="H3" s="1"/>
    </x:row>
    <x:row r="4" ht="25" customHeight="1">
      <x:c r="B4" s="1"/>
      <x:c r="C4" s="1"/>
      <x:c r="D4" s="1"/>
      <x:c r="E4" s="1"/>
      <x:c r="F4" s="1"/>
      <x:c r="G4" s="1"/>
      <x:c r="H4" s="1"/>
    </x:row>
    <x:row r="5" ht="30" customHeight="1">
      <x:c r="B5" s="7" t="str">
        <x:v>年度</x:v>
      </x:c>
      <x:c r="C5" s="7" t="str">
        <x:v>合并净利润</x:v>
      </x:c>
      <x:c r="D5" s="7" t="str">
        <x:v>合并CFO</x:v>
      </x:c>
      <x:c r="E5" s="7" t="str">
        <x:v>长期资产购建现金</x:v>
      </x:c>
      <x:c r="F5" s="7" t="str">
        <x:v>营业收入</x:v>
      </x:c>
      <x:c r="G5" s="7" t="str">
        <x:v>账面存货</x:v>
      </x:c>
      <x:c r="H5" s="7" t="str">
        <x:v>来源ID</x:v>
      </x:c>
    </x:row>
    <x:row r="6" ht="25" customHeight="1">
      <x:c r="B6" s="1" t="n">
        <x:v>2016</x:v>
      </x:c>
      <x:c r="C6" s="9" t="n">
        <x:v>17930643109.88</x:v>
      </x:c>
      <x:c r="D6" s="9" t="n">
        <x:v>37451249647.05</x:v>
      </x:c>
      <x:c r="E6" s="9" t="n">
        <x:v>1019178136.92</x:v>
      </x:c>
      <x:c r="F6" s="9" t="n">
        <x:v>38862189993.84</x:v>
      </x:c>
      <x:c r="G6" s="9" t="n">
        <x:v>20622251825.55</x:v>
      </x:c>
      <x:c r="H6" s="1" t="str">
        <x:v>R2016-07；R2016-08</x:v>
      </x:c>
    </x:row>
    <x:row r="7" ht="25" customHeight="1">
      <x:c r="B7" s="1" t="n">
        <x:v>2017</x:v>
      </x:c>
      <x:c r="C7" s="9" t="n">
        <x:v>29006423236</x:v>
      </x:c>
      <x:c r="D7" s="9" t="n">
        <x:v>22153036084.13</x:v>
      </x:c>
      <x:c r="E7" s="9" t="n">
        <x:v>1125017192.45</x:v>
      </x:c>
      <x:c r="F7" s="9" t="n">
        <x:v>58217861314.17</x:v>
      </x:c>
      <x:c r="G7" s="9" t="n">
        <x:v>22057481376.46</x:v>
      </x:c>
      <x:c r="H7" s="1" t="str">
        <x:v>R2017-04；R2017-05</x:v>
      </x:c>
    </x:row>
    <x:row r="8" ht="25" customHeight="1">
      <x:c r="B8" s="1" t="n">
        <x:v>2018</x:v>
      </x:c>
      <x:c r="C8" s="9" t="n">
        <x:v>37829617756.81</x:v>
      </x:c>
      <x:c r="D8" s="9" t="n">
        <x:v>41385234406.72</x:v>
      </x:c>
      <x:c r="E8" s="9" t="n">
        <x:v>1606750226.28</x:v>
      </x:c>
      <x:c r="F8" s="9" t="n">
        <x:v>73638872388.03</x:v>
      </x:c>
      <x:c r="G8" s="9" t="n">
        <x:v>23506950842.22</x:v>
      </x:c>
      <x:c r="H8" s="1" t="str">
        <x:v>R2018-04；R2018-05</x:v>
      </x:c>
    </x:row>
    <x:row r="9" ht="25" customHeight="1">
      <x:c r="B9" s="1" t="n">
        <x:v>2019</x:v>
      </x:c>
      <x:c r="C9" s="9" t="n">
        <x:v>43970000792.51</x:v>
      </x:c>
      <x:c r="D9" s="9" t="n">
        <x:v>45210612632.56</x:v>
      </x:c>
      <x:c r="E9" s="9" t="n">
        <x:v>3148864661.38</x:v>
      </x:c>
      <x:c r="F9" s="9" t="n">
        <x:v>85429573467.25</x:v>
      </x:c>
      <x:c r="G9" s="9" t="n">
        <x:v>25284920806.33</x:v>
      </x:c>
      <x:c r="H9" s="1" t="str">
        <x:v>R2019-04；R2019-05</x:v>
      </x:c>
    </x:row>
    <x:row r="10" ht="25" customHeight="1">
      <x:c r="B10" s="1" t="n">
        <x:v>2020</x:v>
      </x:c>
      <x:c r="C10" s="9" t="n">
        <x:v>49523329882.4</x:v>
      </x:c>
      <x:c r="D10" s="9" t="n">
        <x:v>51669068693.03</x:v>
      </x:c>
      <x:c r="E10" s="9" t="n">
        <x:v>2089769498.78</x:v>
      </x:c>
      <x:c r="F10" s="9" t="n">
        <x:v>94915380916.72</x:v>
      </x:c>
      <x:c r="G10" s="9" t="n">
        <x:v>28869087678.06</x:v>
      </x:c>
      <x:c r="H10" s="1" t="str">
        <x:v>R2020-09；L03-A2020-C；R2021-10</x:v>
      </x:c>
    </x:row>
    <x:row r="11" ht="25" customHeight="1">
      <x:c r="B11" s="1" t="n">
        <x:v>2021</x:v>
      </x:c>
      <x:c r="C11" s="9" t="n">
        <x:v>55720529956.46</x:v>
      </x:c>
      <x:c r="D11" s="9" t="n">
        <x:v>64028676147.37</x:v>
      </x:c>
      <x:c r="E11" s="9" t="n">
        <x:v>3408784532.01</x:v>
      </x:c>
      <x:c r="F11" s="9" t="n">
        <x:v>106190154843.76</x:v>
      </x:c>
      <x:c r="G11" s="9" t="n">
        <x:v>33394365084.83</x:v>
      </x:c>
      <x:c r="H11" s="1" t="str">
        <x:v>R2021-09；L03-A2021-C；R2021-10</x:v>
      </x:c>
    </x:row>
    <x:row r="12" ht="25" customHeight="1">
      <x:c r="B12" s="1" t="n">
        <x:v>2022</x:v>
      </x:c>
      <x:c r="C12" s="9" t="n">
        <x:v>65375136766.75</x:v>
      </x:c>
      <x:c r="D12" s="9" t="n">
        <x:v>36698595830.03</x:v>
      </x:c>
      <x:c r="E12" s="9" t="n">
        <x:v>5306546416.54</x:v>
      </x:c>
      <x:c r="F12" s="9" t="n">
        <x:v>124099843771.99</x:v>
      </x:c>
      <x:c r="G12" s="9" t="n">
        <x:v>38824374236.24</x:v>
      </x:c>
      <x:c r="H12" s="1" t="str">
        <x:v>R2022-09；L03-A2022-C；R2023-10</x:v>
      </x:c>
    </x:row>
    <x:row r="13" ht="25" customHeight="1">
      <x:c r="B13" s="1" t="n">
        <x:v>2023</x:v>
      </x:c>
      <x:c r="C13" s="9" t="n">
        <x:v>77521476277.8</x:v>
      </x:c>
      <x:c r="D13" s="9" t="n">
        <x:v>66593247721.09</x:v>
      </x:c>
      <x:c r="E13" s="9" t="n">
        <x:v>2619755888.79</x:v>
      </x:c>
      <x:c r="F13" s="9" t="n">
        <x:v>147693604994.14</x:v>
      </x:c>
      <x:c r="G13" s="9" t="n">
        <x:v>46435185061.53</x:v>
      </x:c>
      <x:c r="H13" s="1" t="str">
        <x:v>R2023-09；L03-A2023-C；R2023-10</x:v>
      </x:c>
    </x:row>
    <x:row r="14" ht="25" customHeight="1">
      <x:c r="B14" s="1" t="n">
        <x:v>2024</x:v>
      </x:c>
      <x:c r="C14" s="9" t="n">
        <x:v>89334728025.9</x:v>
      </x:c>
      <x:c r="D14" s="9" t="n">
        <x:v>92463692168.43</x:v>
      </x:c>
      <x:c r="E14" s="9" t="n">
        <x:v>4678712053.56</x:v>
      </x:c>
      <x:c r="F14" s="9" t="n">
        <x:v>170899152276.34</x:v>
      </x:c>
      <x:c r="G14" s="9" t="n">
        <x:v>54343285157.47</x:v>
      </x:c>
      <x:c r="H14" s="1" t="str">
        <x:v>C01；L03-A2024-C；R2025-22</x:v>
      </x:c>
    </x:row>
    <x:row r="15" ht="25" customHeight="1">
      <x:c r="B15" s="1" t="n">
        <x:v>2025</x:v>
      </x:c>
      <x:c r="C15" s="9" t="n">
        <x:v>85310324833.67</x:v>
      </x:c>
      <x:c r="D15" s="9" t="n">
        <x:v>61522204989.35</x:v>
      </x:c>
      <x:c r="E15" s="9" t="n">
        <x:v>3127594916.41</x:v>
      </x:c>
      <x:c r="F15" s="9" t="n">
        <x:v>168838102514.79</x:v>
      </x:c>
      <x:c r="G15" s="9" t="n">
        <x:v>61427421796.18</x:v>
      </x:c>
      <x:c r="H15" s="1" t="str">
        <x:v>R2025-18；R2025-08；R2025-21；R2025-22</x:v>
      </x:c>
    </x:row>
    <x:row r="16" ht="25" customHeight="1">
      <x:c r="B16" s="1"/>
      <x:c r="C16" s="1"/>
      <x:c r="D16" s="1"/>
      <x:c r="E16" s="1"/>
      <x:c r="F16" s="1"/>
      <x:c r="G16" s="1"/>
      <x:c r="H16" s="1"/>
    </x:row>
    <x:row r="17" ht="25" customHeight="1">
      <x:c r="B17" s="1"/>
      <x:c r="C17" s="1"/>
      <x:c r="D17" s="1"/>
      <x:c r="E17" s="1"/>
      <x:c r="F17" s="1"/>
      <x:c r="G17" s="1"/>
      <x:c r="H17" s="1"/>
    </x:row>
    <x:row r="18" ht="25" customHeight="1">
      <x:c r="B18" s="1"/>
      <x:c r="C18" s="1"/>
      <x:c r="D18" s="1"/>
      <x:c r="E18" s="1"/>
      <x:c r="F18" s="1"/>
      <x:c r="G18" s="1"/>
      <x:c r="H18" s="1"/>
    </x:row>
    <x:row r="19" ht="25" customHeight="1">
      <x:c r="B19" s="1" t="str">
        <x:v>2025合并现金调节原文</x:v>
      </x:c>
      <x:c r="C19" s="1"/>
      <x:c r="D19" s="1"/>
      <x:c r="E19" s="1"/>
      <x:c r="F19" s="1"/>
      <x:c r="G19" s="1"/>
      <x:c r="H19" s="1"/>
    </x:row>
    <x:row r="20" ht="30" customHeight="1">
      <x:c r="B20" s="7" t="str">
        <x:v>项目</x:v>
      </x:c>
      <x:c r="C20" s="7" t="str">
        <x:v>本期金额</x:v>
      </x:c>
      <x:c r="D20" s="7" t="str">
        <x:v>来源ID</x:v>
      </x:c>
      <x:c r="E20" s="1"/>
      <x:c r="F20" s="1"/>
      <x:c r="G20" s="1"/>
      <x:c r="H20" s="1"/>
    </x:row>
    <x:row r="21" ht="25" customHeight="1">
      <x:c r="B21" s="1" t="str">
        <x:v>信用减值损失</x:v>
      </x:c>
      <x:c r="C21" s="9" t="n">
        <x:v>-17234379.37</x:v>
      </x:c>
      <x:c r="D21" s="1" t="str">
        <x:v>R2025-24</x:v>
      </x:c>
      <x:c r="E21" s="1"/>
      <x:c r="F21" s="1"/>
      <x:c r="G21" s="1"/>
      <x:c r="H21" s="1"/>
    </x:row>
    <x:row r="22" ht="25" customHeight="1">
      <x:c r="B22" s="1" t="str">
        <x:v>资产减值准备</x:v>
      </x:c>
      <x:c r="C22" s="9"/>
      <x:c r="D22" s="1" t="str">
        <x:v>R2025-24</x:v>
      </x:c>
      <x:c r="E22" s="1"/>
      <x:c r="F22" s="1"/>
      <x:c r="G22" s="1"/>
      <x:c r="H22" s="1"/>
    </x:row>
    <x:row r="23" ht="25" customHeight="1">
      <x:c r="B23" s="1" t="str">
        <x:v>其他</x:v>
      </x:c>
      <x:c r="C23" s="9"/>
      <x:c r="D23" s="1" t="str">
        <x:v>R2025-24</x:v>
      </x:c>
      <x:c r="E23" s="1"/>
      <x:c r="F23" s="1"/>
      <x:c r="G23" s="1"/>
      <x:c r="H23" s="1"/>
    </x:row>
    <x:row r="24" ht="25" customHeight="1">
      <x:c r="B24" s="1" t="str">
        <x:v>固定资产折旧、油气资产折耗、生产性生物资产折旧</x:v>
      </x:c>
      <x:c r="C24" s="9" t="n">
        <x:v>1893338311.91</x:v>
      </x:c>
      <x:c r="D24" s="1" t="str">
        <x:v>R2025-25</x:v>
      </x:c>
      <x:c r="E24" s="1"/>
      <x:c r="F24" s="1"/>
      <x:c r="G24" s="1"/>
      <x:c r="H24" s="1"/>
    </x:row>
    <x:row r="25" ht="25" customHeight="1">
      <x:c r="B25" s="1" t="str">
        <x:v>使用权资产摊销</x:v>
      </x:c>
      <x:c r="C25" s="9" t="n">
        <x:v>55797324.89</x:v>
      </x:c>
      <x:c r="D25" s="1" t="str">
        <x:v>R2025-25</x:v>
      </x:c>
      <x:c r="E25" s="1"/>
      <x:c r="F25" s="1"/>
      <x:c r="G25" s="1"/>
      <x:c r="H25" s="1"/>
    </x:row>
    <x:row r="26" ht="25" customHeight="1">
      <x:c r="B26" s="1" t="str">
        <x:v>无形资产摊销</x:v>
      </x:c>
      <x:c r="C26" s="9" t="n">
        <x:v>289613682.99</x:v>
      </x:c>
      <x:c r="D26" s="1" t="str">
        <x:v>R2025-25</x:v>
      </x:c>
      <x:c r="E26" s="1"/>
      <x:c r="F26" s="1"/>
      <x:c r="G26" s="1"/>
      <x:c r="H26" s="1"/>
    </x:row>
    <x:row r="27" ht="25" customHeight="1">
      <x:c r="B27" s="1" t="str">
        <x:v>长期待摊费用摊销</x:v>
      </x:c>
      <x:c r="C27" s="9" t="n">
        <x:v>20637734.49</x:v>
      </x:c>
      <x:c r="D27" s="1" t="str">
        <x:v>R2025-25</x:v>
      </x:c>
      <x:c r="E27" s="1"/>
      <x:c r="F27" s="1"/>
      <x:c r="G27" s="1"/>
      <x:c r="H27" s="1"/>
    </x:row>
    <x:row r="28" ht="25" customHeight="1">
      <x:c r="B28" s="1" t="str">
        <x:v>处置固定资产、无形资产和其他长期资产的损失</x:v>
      </x:c>
      <x:c r="C28" s="9" t="n">
        <x:v>-3106625.19</x:v>
      </x:c>
      <x:c r="D28" s="1" t="str">
        <x:v>R2025-26</x:v>
      </x:c>
      <x:c r="E28" s="1"/>
      <x:c r="F28" s="1"/>
      <x:c r="G28" s="1"/>
      <x:c r="H28" s="1"/>
    </x:row>
    <x:row r="29" ht="25" customHeight="1">
      <x:c r="B29" s="1" t="str">
        <x:v>固定资产报废损失</x:v>
      </x:c>
      <x:c r="C29" s="9" t="n">
        <x:v>5491211.47</x:v>
      </x:c>
      <x:c r="D29" s="1" t="str">
        <x:v>R2025-26</x:v>
      </x:c>
      <x:c r="E29" s="1"/>
      <x:c r="F29" s="1"/>
      <x:c r="G29" s="1"/>
      <x:c r="H29" s="1"/>
    </x:row>
    <x:row r="30" ht="25" customHeight="1">
      <x:c r="B30" s="1" t="str">
        <x:v>公允价值变动损失</x:v>
      </x:c>
      <x:c r="C30" s="9" t="n">
        <x:v>-76162597.66</x:v>
      </x:c>
      <x:c r="D30" s="1" t="str">
        <x:v>R2025-26</x:v>
      </x:c>
      <x:c r="E30" s="1"/>
      <x:c r="F30" s="1"/>
      <x:c r="G30" s="1"/>
      <x:c r="H30" s="1"/>
    </x:row>
    <x:row r="31" ht="25" customHeight="1">
      <x:c r="B31" s="1" t="str">
        <x:v>财务费用</x:v>
      </x:c>
      <x:c r="C31" s="9" t="n">
        <x:v>28734948.29</x:v>
      </x:c>
      <x:c r="D31" s="1" t="str">
        <x:v>R2025-26</x:v>
      </x:c>
      <x:c r="E31" s="1"/>
      <x:c r="F31" s="1"/>
      <x:c r="G31" s="1"/>
      <x:c r="H31" s="1"/>
    </x:row>
    <x:row r="32" ht="25" customHeight="1">
      <x:c r="B32" s="1" t="str">
        <x:v>投资损失</x:v>
      </x:c>
      <x:c r="C32" s="9" t="n">
        <x:v>-561176.14</x:v>
      </x:c>
      <x:c r="D32" s="1" t="str">
        <x:v>R2025-26</x:v>
      </x:c>
      <x:c r="E32" s="1"/>
      <x:c r="F32" s="1"/>
      <x:c r="G32" s="1"/>
      <x:c r="H32" s="1"/>
    </x:row>
    <x:row r="33" ht="25" customHeight="1">
      <x:c r="B33" s="1" t="str">
        <x:v>递延所得税资产减少</x:v>
      </x:c>
      <x:c r="C33" s="9" t="n">
        <x:v>-1082462282.39</x:v>
      </x:c>
      <x:c r="D33" s="1" t="str">
        <x:v>R2025-27</x:v>
      </x:c>
      <x:c r="E33" s="1"/>
      <x:c r="F33" s="1"/>
      <x:c r="G33" s="1"/>
      <x:c r="H33" s="1"/>
    </x:row>
    <x:row r="34" ht="25" customHeight="1">
      <x:c r="B34" s="1" t="str">
        <x:v>递延所得税负债增加</x:v>
      </x:c>
      <x:c r="C34" s="9" t="n">
        <x:v>-27759411.59</x:v>
      </x:c>
      <x:c r="D34" s="1" t="str">
        <x:v>R2025-27</x:v>
      </x:c>
      <x:c r="E34" s="1"/>
      <x:c r="F34" s="1"/>
      <x:c r="G34" s="1"/>
      <x:c r="H34" s="1"/>
    </x:row>
    <x:row r="35" ht="25" customHeight="1">
      <x:c r="B35" s="1" t="str">
        <x:v>存货的减少</x:v>
      </x:c>
      <x:c r="C35" s="9" t="n">
        <x:v>-7084136638.71</x:v>
      </x:c>
      <x:c r="D35" s="1" t="str">
        <x:v>R2025-28</x:v>
      </x:c>
      <x:c r="E35" s="1"/>
      <x:c r="F35" s="1"/>
      <x:c r="G35" s="1"/>
      <x:c r="H35" s="1"/>
    </x:row>
    <x:row r="36" ht="25" customHeight="1">
      <x:c r="B36" s="1" t="str">
        <x:v>经营性应收项目的减少</x:v>
      </x:c>
      <x:c r="C36" s="9" t="n">
        <x:v>-10983881858.27</x:v>
      </x:c>
      <x:c r="D36" s="1" t="str">
        <x:v>R2025-28</x:v>
      </x:c>
      <x:c r="E36" s="1"/>
      <x:c r="F36" s="1"/>
      <x:c r="G36" s="1"/>
      <x:c r="H36" s="1"/>
    </x:row>
    <x:row r="37" ht="25" customHeight="1">
      <x:c r="B37" s="1" t="str">
        <x:v>经营性应付项目的增加</x:v>
      </x:c>
      <x:c r="C37" s="9" t="n">
        <x:v>-6806428089.04</x:v>
      </x:c>
      <x:c r="D37" s="1" t="str">
        <x:v>R2025-28</x:v>
      </x:c>
      <x:c r="E37" s="1"/>
      <x:c r="F37" s="1"/>
      <x:c r="G37" s="1"/>
      <x:c r="H37" s="1"/>
    </x:row>
    <x:row r="38" ht="25" customHeight="1">
      <x:c r="B38" s="1"/>
      <x:c r="C38" s="1"/>
      <x:c r="D38" s="1"/>
      <x:c r="E38" s="1"/>
      <x:c r="F38" s="1"/>
      <x:c r="G38" s="1"/>
      <x:c r="H38" s="1"/>
    </x:row>
    <x:row r="39" ht="25" customHeight="1">
      <x:c r="B39" s="3" t="str">
        <x:v>资产减值准备、其他两格为空白；加总不产生加项，不代表披露0。</x:v>
      </x:c>
      <x:c r="C39" s="1"/>
      <x:c r="D39" s="1"/>
      <x:c r="E39" s="1"/>
      <x:c r="F39" s="1"/>
      <x:c r="G39" s="1"/>
      <x:c r="H39" s="1"/>
    </x:row>
    <x:row r="40" ht="25" customHeight="1">
      <x:c r="B40" s="1"/>
      <x:c r="C40" s="1"/>
      <x:c r="D40" s="1"/>
      <x:c r="E40" s="1"/>
      <x:c r="F40" s="1"/>
      <x:c r="G40" s="1"/>
      <x:c r="H40" s="1"/>
    </x:row>
    <x:row r="41" ht="25" customHeight="1">
      <x:c r="B41" s="1" t="str">
        <x:v>资本原数：当年年末与同报告年初</x:v>
      </x:c>
      <x:c r="C41" s="1"/>
      <x:c r="D41" s="1"/>
      <x:c r="E41" s="1"/>
      <x:c r="F41" s="1"/>
      <x:c r="G41" s="1"/>
      <x:c r="H41" s="1"/>
    </x:row>
    <x:row r="42" ht="25" customHeight="1">
      <x:c r="B42" s="1"/>
      <x:c r="C42" s="1"/>
      <x:c r="D42" s="1"/>
      <x:c r="E42" s="1"/>
      <x:c r="F42" s="1"/>
      <x:c r="G42" s="1"/>
      <x:c r="H42" s="1"/>
    </x:row>
    <x:row r="43" ht="48" customHeight="1">
      <x:c r="B43" s="7" t="str">
        <x:v>科目</x:v>
      </x:c>
      <x:c r="C43" s="10" t="str">
        <x:v>2007年末</x:v>
      </x:c>
      <x:c r="D43" s="10" t="str">
        <x:v>2006末（2007年初列）</x:v>
      </x:c>
      <x:c r="E43" s="10" t="str">
        <x:v>2011年末</x:v>
      </x:c>
      <x:c r="F43" s="10" t="str">
        <x:v>2010末（2011年初列）</x:v>
      </x:c>
      <x:c r="G43" s="1"/>
      <x:c r="H43" s="1"/>
    </x:row>
    <x:row r="44" ht="25" customHeight="1">
      <x:c r="B44" s="1" t="str">
        <x:v>存货</x:v>
      </x:c>
      <x:c r="C44" s="9" t="n">
        <x:v>2304818947.92</x:v>
      </x:c>
      <x:c r="D44" s="9" t="n">
        <x:v>1980903106.21</x:v>
      </x:c>
      <x:c r="E44" s="9" t="n">
        <x:v>7187117552.86</x:v>
      </x:c>
      <x:c r="F44" s="9" t="n">
        <x:v>5574126083.42</x:v>
      </x:c>
      <x:c r="G44" s="1"/>
      <x:c r="H44" s="1"/>
    </x:row>
    <x:row r="45" ht="25" customHeight="1">
      <x:c r="B45" s="1" t="str">
        <x:v>应收票据</x:v>
      </x:c>
      <x:c r="C45" s="9" t="n">
        <x:v>101046224</x:v>
      </x:c>
      <x:c r="D45" s="9" t="n">
        <x:v>185653838.47</x:v>
      </x:c>
      <x:c r="E45" s="9" t="n">
        <x:v>252101396.08</x:v>
      </x:c>
      <x:c r="F45" s="9" t="n">
        <x:v>204811101.2</x:v>
      </x:c>
      <x:c r="G45" s="1"/>
      <x:c r="H45" s="1"/>
    </x:row>
    <x:row r="46" ht="25" customHeight="1">
      <x:c r="B46" s="1" t="str">
        <x:v>应收账款</x:v>
      </x:c>
      <x:c r="C46" s="9" t="n">
        <x:v>46407153.34</x:v>
      </x:c>
      <x:c r="D46" s="9" t="n">
        <x:v>68347002.7</x:v>
      </x:c>
      <x:c r="E46" s="9" t="n">
        <x:v>2225396.48</x:v>
      </x:c>
      <x:c r="F46" s="9" t="n">
        <x:v>1254599.91</x:v>
      </x:c>
      <x:c r="G46" s="1"/>
      <x:c r="H46" s="1"/>
    </x:row>
    <x:row r="47" ht="25" customHeight="1">
      <x:c r="B47" s="1" t="str">
        <x:v>预付款项</x:v>
      </x:c>
      <x:c r="C47" s="9" t="n">
        <x:v>6825624.62</x:v>
      </x:c>
      <x:c r="D47" s="9" t="n">
        <x:v>3144616.2</x:v>
      </x:c>
      <x:c r="E47" s="9" t="n">
        <x:v>1861027424.03</x:v>
      </x:c>
      <x:c r="F47" s="9" t="n">
        <x:v>1529868837.52</x:v>
      </x:c>
      <x:c r="G47" s="1"/>
      <x:c r="H47" s="1"/>
    </x:row>
    <x:row r="48" ht="25" customHeight="1">
      <x:c r="B48" s="1" t="str">
        <x:v>应付账款</x:v>
      </x:c>
      <x:c r="C48" s="9" t="n">
        <x:v>59681964.5</x:v>
      </x:c>
      <x:c r="D48" s="9" t="n">
        <x:v>41247749.99</x:v>
      </x:c>
      <x:c r="E48" s="9" t="n">
        <x:v>172343585.06</x:v>
      </x:c>
      <x:c r="F48" s="9" t="n">
        <x:v>232013104.28</x:v>
      </x:c>
      <x:c r="G48" s="1"/>
      <x:c r="H48" s="1"/>
    </x:row>
    <x:row r="49" ht="25" customHeight="1">
      <x:c r="B49" s="1" t="str">
        <x:v>预收款项</x:v>
      </x:c>
      <x:c r="C49" s="9" t="n">
        <x:v>1125288196.26</x:v>
      </x:c>
      <x:c r="D49" s="9" t="n">
        <x:v>2141468768.67</x:v>
      </x:c>
      <x:c r="E49" s="9" t="n">
        <x:v>7026648776.8</x:v>
      </x:c>
      <x:c r="F49" s="9" t="n">
        <x:v>4738570750.16</x:v>
      </x:c>
      <x:c r="G49" s="1"/>
      <x:c r="H49" s="1"/>
    </x:row>
    <x:row r="50" ht="25" customHeight="1">
      <x:c r="B50" s="1" t="str">
        <x:v>固定资产</x:v>
      </x:c>
      <x:c r="C50" s="9" t="n">
        <x:v>1826983364.36</x:v>
      </x:c>
      <x:c r="D50" s="9" t="n">
        <x:v>1222898569.38</x:v>
      </x:c>
      <x:c r="E50" s="9" t="n">
        <x:v>5426012349.61</x:v>
      </x:c>
      <x:c r="F50" s="9" t="n">
        <x:v>4191851111.97</x:v>
      </x:c>
      <x:c r="G50" s="1"/>
      <x:c r="H50" s="1"/>
    </x:row>
    <x:row r="51" ht="25" customHeight="1">
      <x:c r="B51" s="1" t="str">
        <x:v>在建工程</x:v>
      </x:c>
      <x:c r="C51" s="9" t="n">
        <x:v>994453165.72</x:v>
      </x:c>
      <x:c r="D51" s="9" t="n">
        <x:v>989033918.02</x:v>
      </x:c>
      <x:c r="E51" s="9" t="n">
        <x:v>251446326.43</x:v>
      </x:c>
      <x:c r="F51" s="9" t="n">
        <x:v>263458445.1</x:v>
      </x:c>
      <x:c r="G51" s="1"/>
      <x:c r="H51" s="1"/>
    </x:row>
    <x:row r="52" ht="25" customHeight="1">
      <x:c r="B52" s="1" t="str">
        <x:v>无形资产</x:v>
      </x:c>
      <x:c r="C52" s="9" t="n">
        <x:v>249274093.4</x:v>
      </x:c>
      <x:c r="D52" s="9" t="n">
        <x:v>256943698.66</x:v>
      </x:c>
      <x:c r="E52" s="9" t="n">
        <x:v>808425512.33</x:v>
      </x:c>
      <x:c r="F52" s="9" t="n">
        <x:v>452317235.72</x:v>
      </x:c>
      <x:c r="G52" s="1"/>
      <x:c r="H52" s="1"/>
    </x:row>
    <x:row r="53" ht="25" customHeight="1">
      <x:c r="B53" s="1"/>
      <x:c r="C53" s="1"/>
      <x:c r="D53" s="1"/>
      <x:c r="E53" s="1"/>
      <x:c r="F53" s="1"/>
      <x:c r="G53" s="1"/>
      <x:c r="H53" s="1"/>
    </x:row>
    <x:row r="54" ht="25" customHeight="1">
      <x:c r="B54" s="1"/>
      <x:c r="C54" s="1"/>
      <x:c r="D54" s="1"/>
      <x:c r="E54" s="1"/>
      <x:c r="F54" s="1"/>
      <x:c r="G54" s="1"/>
      <x:c r="H54" s="1"/>
    </x:row>
    <x:row r="55" ht="30" customHeight="1">
      <x:c r="B55" s="7" t="str">
        <x:v>利润与税费科目</x:v>
      </x:c>
      <x:c r="C55" s="7" t="str">
        <x:v>2007本期</x:v>
      </x:c>
      <x:c r="D55" s="7" t="str">
        <x:v>2011本期</x:v>
      </x:c>
      <x:c r="E55" s="1"/>
      <x:c r="F55" s="1"/>
      <x:c r="G55" s="1"/>
      <x:c r="H55" s="1"/>
    </x:row>
    <x:row r="56" ht="25" customHeight="1">
      <x:c r="B56" s="1" t="str">
        <x:v>三、营业利润</x:v>
      </x:c>
      <x:c r="C56" s="9" t="n">
        <x:v>4525341001.8</x:v>
      </x:c>
      <x:c r="D56" s="9" t="n">
        <x:v>12336164425.08</x:v>
      </x:c>
      <x:c r="E56" s="1"/>
      <x:c r="F56" s="1"/>
      <x:c r="G56" s="1"/>
      <x:c r="H56" s="1"/>
    </x:row>
    <x:row r="57" ht="25" customHeight="1">
      <x:c r="B57" s="1" t="str">
        <x:v>四、利润总额</x:v>
      </x:c>
      <x:c r="C57" s="9" t="n">
        <x:v>4522025015.93</x:v>
      </x:c>
      <x:c r="D57" s="9" t="n">
        <x:v>12334660473.8</x:v>
      </x:c>
      <x:c r="E57" s="1"/>
      <x:c r="F57" s="1"/>
      <x:c r="G57" s="1"/>
      <x:c r="H57" s="1"/>
    </x:row>
    <x:row r="58" ht="25" customHeight="1">
      <x:c r="B58" s="1" t="str">
        <x:v>减：所得税费用</x:v>
      </x:c>
      <x:c r="C58" s="9" t="n">
        <x:v>1555972506.98</x:v>
      </x:c>
      <x:c r="D58" s="9" t="n">
        <x:v>3084336666.18</x:v>
      </x:c>
      <x:c r="E58" s="1"/>
      <x:c r="F58" s="1"/>
      <x:c r="G58" s="1"/>
      <x:c r="H58" s="1"/>
    </x:row>
    <x:row r="59" ht="25" customHeight="1">
      <x:c r="B59" s="1" t="str">
        <x:v>财务费用</x:v>
      </x:c>
      <x:c r="C59" s="9" t="n">
        <x:v>-44743824.95</x:v>
      </x:c>
      <x:c r="D59" s="9" t="n">
        <x:v>-350751496.92</x:v>
      </x:c>
      <x:c r="E59" s="1"/>
      <x:c r="F59" s="1"/>
      <x:c r="G59" s="1"/>
      <x:c r="H59" s="1"/>
    </x:row>
    <x:row r="60" ht="25" customHeight="1">
      <x:c r="B60" s="1" t="str">
        <x:v>投资收益</x:v>
      </x:c>
      <x:c r="C60" s="9" t="n">
        <x:v>1814950</x:v>
      </x:c>
      <x:c r="D60" s="9" t="n">
        <x:v>3383000</x:v>
      </x:c>
      <x:c r="E60" s="1"/>
      <x:c r="F60" s="1"/>
      <x:c r="G60" s="1"/>
      <x:c r="H60" s="1"/>
    </x:row>
    <x:row r="61" ht="25" customHeight="1">
      <x:c r="B61" s="1"/>
      <x:c r="C61" s="1"/>
      <x:c r="D61" s="1"/>
      <x:c r="E61" s="1"/>
      <x:c r="F61" s="1"/>
      <x:c r="G61" s="1"/>
      <x:c r="H61" s="1"/>
    </x:row>
    <x:row r="62" ht="25" customHeight="1">
      <x:c r="B62" s="1"/>
      <x:c r="C62" s="1"/>
      <x:c r="D62" s="1"/>
      <x:c r="E62" s="1"/>
      <x:c r="F62" s="1"/>
      <x:c r="G62" s="1"/>
      <x:c r="H62" s="1"/>
    </x:row>
    <x:row r="63" ht="30" customHeight="1">
      <x:c r="B63" s="7" t="str">
        <x:v>来源ID（含批注）</x:v>
      </x:c>
      <x:c r="C63" s="7" t="str">
        <x:v>报告年</x:v>
      </x:c>
      <x:c r="D63" s="7" t="str">
        <x:v>原件</x:v>
      </x:c>
      <x:c r="E63" s="7" t="str">
        <x:v>定位</x:v>
      </x:c>
      <x:c r="F63" s="7" t="str">
        <x:v>支持边界</x:v>
      </x:c>
      <x:c r="G63" s="1"/>
      <x:c r="H63" s="1"/>
    </x:row>
    <x:row r="64" ht="25" customHeight="1">
      <x:c r="B64" s="1" t="str">
        <x:v>C01</x:v>
      </x:c>
      <x:c r="C64" s="1" t="n">
        <x:v>2024</x:v>
      </x:c>
      <x:c r="D64" s="1" t="str">
        <x:v>贵州茅台2024年报</x:v>
      </x:c>
      <x:c r="E64" s="1" t="str">
        <x:v>PDF／报告63页</x:v>
      </x:c>
      <x:c r="F64" s="1" t="str">
        <x:v>合并原数，非实体结论</x:v>
      </x:c>
      <x:c r="G64" s="1"/>
      <x:c r="H64" s="1"/>
    </x:row>
    <x:row r="65" ht="25" customHeight="1">
      <x:c r="B65" t="str">
        <x:v>R2007-01</x:v>
      </x:c>
      <x:c r="C65" t="n">
        <x:v>2007</x:v>
      </x:c>
      <x:c r="D65" t="str">
        <x:v>贵州茅台2007年报</x:v>
      </x:c>
      <x:c r="E65" t="str">
        <x:v>PDF物理48页</x:v>
      </x:c>
      <x:c r="F65" t="str">
        <x:v>合并原数，非实体结论</x:v>
      </x:c>
    </x:row>
    <x:row r="66" ht="25" customHeight="1">
      <x:c r="B66" t="str">
        <x:v>R2007-02</x:v>
      </x:c>
      <x:c r="C66" t="n">
        <x:v>2007</x:v>
      </x:c>
      <x:c r="D66" t="str">
        <x:v>贵州茅台2007年报</x:v>
      </x:c>
      <x:c r="E66" t="str">
        <x:v>PDF物理30、31页</x:v>
      </x:c>
      <x:c r="F66" t="str">
        <x:v>合并原数，非实体结论</x:v>
      </x:c>
    </x:row>
    <x:row r="67" ht="25" customHeight="1">
      <x:c r="B67" t="str">
        <x:v>R2007-03</x:v>
      </x:c>
      <x:c r="C67" t="n">
        <x:v>2007</x:v>
      </x:c>
      <x:c r="D67" t="str">
        <x:v>贵州茅台2007年报</x:v>
      </x:c>
      <x:c r="E67" t="str">
        <x:v>PDF物理30页</x:v>
      </x:c>
      <x:c r="F67" t="str">
        <x:v>合并原数，非实体结论</x:v>
      </x:c>
    </x:row>
    <x:row r="68" ht="25" customHeight="1">
      <x:c r="B68" t="str">
        <x:v>R2007-04</x:v>
      </x:c>
      <x:c r="C68" t="n">
        <x:v>2007</x:v>
      </x:c>
      <x:c r="D68" t="str">
        <x:v>贵州茅台2007年报</x:v>
      </x:c>
      <x:c r="E68" t="str">
        <x:v>PDF物理34页</x:v>
      </x:c>
      <x:c r="F68" t="str">
        <x:v>合并原数，非实体结论</x:v>
      </x:c>
    </x:row>
    <x:row r="69" ht="25" customHeight="1">
      <x:c r="B69" t="str">
        <x:v>R2007-05</x:v>
      </x:c>
      <x:c r="C69" t="n">
        <x:v>2007</x:v>
      </x:c>
      <x:c r="D69" t="str">
        <x:v>贵州茅台2007年报</x:v>
      </x:c>
      <x:c r="E69" t="str">
        <x:v>PDF物理30、31页</x:v>
      </x:c>
      <x:c r="F69" t="str">
        <x:v>合并原数，非实体结论</x:v>
      </x:c>
    </x:row>
    <x:row r="70" ht="25" customHeight="1">
      <x:c r="B70" t="str">
        <x:v>R2007-06</x:v>
      </x:c>
      <x:c r="C70" t="n">
        <x:v>2007</x:v>
      </x:c>
      <x:c r="D70" t="str">
        <x:v>贵州茅台2007年报</x:v>
      </x:c>
      <x:c r="E70" t="str">
        <x:v>PDF物理30页</x:v>
      </x:c>
      <x:c r="F70" t="str">
        <x:v>合并原数，非实体结论</x:v>
      </x:c>
    </x:row>
    <x:row r="71" ht="25" customHeight="1">
      <x:c r="B71" t="str">
        <x:v>R2007-07</x:v>
      </x:c>
      <x:c r="C71" t="n">
        <x:v>2007</x:v>
      </x:c>
      <x:c r="D71" t="str">
        <x:v>贵州茅台2007年报</x:v>
      </x:c>
      <x:c r="E71" t="str">
        <x:v>PDF物理34页</x:v>
      </x:c>
      <x:c r="F71" t="str">
        <x:v>合并原数，非实体结论</x:v>
      </x:c>
    </x:row>
    <x:row r="72" ht="25" customHeight="1">
      <x:c r="B72" t="str">
        <x:v>R2011-01</x:v>
      </x:c>
      <x:c r="C72" t="n">
        <x:v>2011</x:v>
      </x:c>
      <x:c r="D72" t="str">
        <x:v>贵州茅台2011年报</x:v>
      </x:c>
      <x:c r="E72" t="str">
        <x:v>PDF物理39、40页</x:v>
      </x:c>
      <x:c r="F72" t="str">
        <x:v>合并原数，非实体结论</x:v>
      </x:c>
    </x:row>
    <x:row r="73" ht="25" customHeight="1">
      <x:c r="B73" t="str">
        <x:v>R2011-02</x:v>
      </x:c>
      <x:c r="C73" t="n">
        <x:v>2011</x:v>
      </x:c>
      <x:c r="D73" t="str">
        <x:v>贵州茅台2011年报</x:v>
      </x:c>
      <x:c r="E73" t="str">
        <x:v>PDF物理39、40页</x:v>
      </x:c>
      <x:c r="F73" t="str">
        <x:v>合并原数，非实体结论</x:v>
      </x:c>
    </x:row>
    <x:row r="74" ht="25" customHeight="1">
      <x:c r="B74" t="str">
        <x:v>R2011-03</x:v>
      </x:c>
      <x:c r="C74" t="n">
        <x:v>2011</x:v>
      </x:c>
      <x:c r="D74" t="str">
        <x:v>贵州茅台2011年报</x:v>
      </x:c>
      <x:c r="E74" t="str">
        <x:v>PDF物理44、45页</x:v>
      </x:c>
      <x:c r="F74" t="str">
        <x:v>合并原数，非实体结论</x:v>
      </x:c>
    </x:row>
    <x:row r="75" ht="25" customHeight="1">
      <x:c r="B75" t="str">
        <x:v>R2011-04</x:v>
      </x:c>
      <x:c r="C75" t="n">
        <x:v>2011</x:v>
      </x:c>
      <x:c r="D75" t="str">
        <x:v>贵州茅台2011年报</x:v>
      </x:c>
      <x:c r="E75" t="str">
        <x:v>PDF物理39、40页</x:v>
      </x:c>
      <x:c r="F75" t="str">
        <x:v>合并原数，非实体结论</x:v>
      </x:c>
    </x:row>
    <x:row r="76" ht="25" customHeight="1">
      <x:c r="B76" t="str">
        <x:v>R2011-05</x:v>
      </x:c>
      <x:c r="C76" t="n">
        <x:v>2011</x:v>
      </x:c>
      <x:c r="D76" t="str">
        <x:v>贵州茅台2011年报</x:v>
      </x:c>
      <x:c r="E76" t="str">
        <x:v>PDF物理39、40页</x:v>
      </x:c>
      <x:c r="F76" t="str">
        <x:v>合并原数，非实体结论</x:v>
      </x:c>
    </x:row>
    <x:row r="77" ht="25" customHeight="1">
      <x:c r="B77" t="str">
        <x:v>R2011-06</x:v>
      </x:c>
      <x:c r="C77" t="n">
        <x:v>2011</x:v>
      </x:c>
      <x:c r="D77" t="str">
        <x:v>贵州茅台2011年报</x:v>
      </x:c>
      <x:c r="E77" t="str">
        <x:v>PDF物理44页</x:v>
      </x:c>
      <x:c r="F77" t="str">
        <x:v>合并原数，非实体结论</x:v>
      </x:c>
    </x:row>
    <x:row r="78" ht="25" customHeight="1">
      <x:c r="B78" t="str">
        <x:v>R2012-01</x:v>
      </x:c>
      <x:c r="C78" t="n">
        <x:v>2012</x:v>
      </x:c>
      <x:c r="D78" t="str">
        <x:v>贵州茅台2012年报</x:v>
      </x:c>
      <x:c r="E78" t="str">
        <x:v>PDF物理67页</x:v>
      </x:c>
      <x:c r="F78" t="str">
        <x:v>合并原数，非实体结论</x:v>
      </x:c>
    </x:row>
    <x:row r="79" ht="25" customHeight="1">
      <x:c r="B79" t="str">
        <x:v>R2013-01</x:v>
      </x:c>
      <x:c r="C79" t="n">
        <x:v>2013</x:v>
      </x:c>
      <x:c r="D79" t="str">
        <x:v>贵州茅台2013年报</x:v>
      </x:c>
      <x:c r="E79" t="str">
        <x:v>PDF物理90页</x:v>
      </x:c>
      <x:c r="F79" t="str">
        <x:v>合并原数，非实体结论</x:v>
      </x:c>
    </x:row>
    <x:row r="80" ht="25" customHeight="1">
      <x:c r="B80" t="str">
        <x:v>R2016-07</x:v>
      </x:c>
      <x:c r="C80" t="n">
        <x:v>2016</x:v>
      </x:c>
      <x:c r="D80" t="str">
        <x:v>贵州茅台2016年报</x:v>
      </x:c>
      <x:c r="E80" t="str">
        <x:v>PDF／报告45页</x:v>
      </x:c>
      <x:c r="F80" t="str">
        <x:v>合并原数，非实体结论</x:v>
      </x:c>
    </x:row>
    <x:row r="81" ht="25" customHeight="1">
      <x:c r="B81" t="str">
        <x:v>R2016-08</x:v>
      </x:c>
      <x:c r="C81" t="n">
        <x:v>2016</x:v>
      </x:c>
      <x:c r="D81" t="str">
        <x:v>贵州茅台2016年报</x:v>
      </x:c>
      <x:c r="E81" t="str">
        <x:v>PDF／报告41、46、48页</x:v>
      </x:c>
      <x:c r="F81" t="str">
        <x:v>合并原数，非实体结论</x:v>
      </x:c>
    </x:row>
    <x:row r="82" ht="25" customHeight="1">
      <x:c r="B82" t="str">
        <x:v>R2017-04</x:v>
      </x:c>
      <x:c r="C82" t="n">
        <x:v>2017</x:v>
      </x:c>
      <x:c r="D82" t="str">
        <x:v>贵州茅台2017年报</x:v>
      </x:c>
      <x:c r="E82" t="str">
        <x:v>PDF／报告48—49页</x:v>
      </x:c>
      <x:c r="F82" t="str">
        <x:v>合并原数，非实体结论</x:v>
      </x:c>
    </x:row>
    <x:row r="83" ht="25" customHeight="1">
      <x:c r="B83" t="str">
        <x:v>R2017-05</x:v>
      </x:c>
      <x:c r="C83" t="n">
        <x:v>2017</x:v>
      </x:c>
      <x:c r="D83" t="str">
        <x:v>贵州茅台2017年报</x:v>
      </x:c>
      <x:c r="E83" t="str">
        <x:v>PDF／报告45、49、52页</x:v>
      </x:c>
      <x:c r="F83" t="str">
        <x:v>合并原数，非实体结论</x:v>
      </x:c>
    </x:row>
    <x:row r="84" ht="25" customHeight="1">
      <x:c r="B84" t="str">
        <x:v>R2018-04</x:v>
      </x:c>
      <x:c r="C84" t="n">
        <x:v>2018</x:v>
      </x:c>
      <x:c r="D84" t="str">
        <x:v>贵州茅台2018年报</x:v>
      </x:c>
      <x:c r="E84" t="str">
        <x:v>PDF／报告55—56页</x:v>
      </x:c>
      <x:c r="F84" t="str">
        <x:v>合并原数，非实体结论</x:v>
      </x:c>
    </x:row>
    <x:row r="85" ht="25" customHeight="1">
      <x:c r="B85" t="str">
        <x:v>R2018-05</x:v>
      </x:c>
      <x:c r="C85" t="n">
        <x:v>2018</x:v>
      </x:c>
      <x:c r="D85" t="str">
        <x:v>贵州茅台2018年报</x:v>
      </x:c>
      <x:c r="E85" t="str">
        <x:v>PDF／报告52、56、58、59页</x:v>
      </x:c>
      <x:c r="F85" t="str">
        <x:v>合并原数，非实体结论</x:v>
      </x:c>
    </x:row>
    <x:row r="86" ht="25" customHeight="1">
      <x:c r="B86" t="str">
        <x:v>R2019-04</x:v>
      </x:c>
      <x:c r="C86" t="n">
        <x:v>2019</x:v>
      </x:c>
      <x:c r="D86" t="str">
        <x:v>贵州茅台2019年报</x:v>
      </x:c>
      <x:c r="E86" t="str">
        <x:v>PDF／报告56页</x:v>
      </x:c>
      <x:c r="F86" t="str">
        <x:v>合并原数，非实体结论</x:v>
      </x:c>
    </x:row>
    <x:row r="87" ht="25" customHeight="1">
      <x:c r="B87" t="str">
        <x:v>R2019-05</x:v>
      </x:c>
      <x:c r="C87" t="n">
        <x:v>2019</x:v>
      </x:c>
      <x:c r="D87" t="str">
        <x:v>贵州茅台2019年报</x:v>
      </x:c>
      <x:c r="E87" t="str">
        <x:v>PDF／报告52、57、59、60页</x:v>
      </x:c>
      <x:c r="F87" t="str">
        <x:v>合并原数，非实体结论</x:v>
      </x:c>
    </x:row>
    <x:row r="88" ht="25" customHeight="1">
      <x:c r="B88" t="str">
        <x:v>R2020-09</x:v>
      </x:c>
      <x:c r="C88" t="n">
        <x:v>2020</x:v>
      </x:c>
      <x:c r="D88" t="str">
        <x:v>贵州茅台2020年报</x:v>
      </x:c>
      <x:c r="E88" t="str">
        <x:v>PDF／报告53页</x:v>
      </x:c>
      <x:c r="F88" t="str">
        <x:v>合并原数，非实体结论</x:v>
      </x:c>
    </x:row>
    <x:row r="89" ht="25" customHeight="1">
      <x:c r="B89" t="str">
        <x:v>R2020-10</x:v>
      </x:c>
      <x:c r="C89" t="n">
        <x:v>2020</x:v>
      </x:c>
      <x:c r="D89" t="str">
        <x:v>贵州茅台2020年报</x:v>
      </x:c>
      <x:c r="E89" t="str">
        <x:v>PDF物理73、76页</x:v>
      </x:c>
      <x:c r="F89" t="str">
        <x:v>合并原数，非实体结论</x:v>
      </x:c>
    </x:row>
    <x:row r="90" ht="25" customHeight="1">
      <x:c r="B90" t="str">
        <x:v>R2021-09</x:v>
      </x:c>
      <x:c r="C90" t="n">
        <x:v>2021</x:v>
      </x:c>
      <x:c r="D90" t="str">
        <x:v>贵州茅台2021年报</x:v>
      </x:c>
      <x:c r="E90" t="str">
        <x:v>PDF／报告54页</x:v>
      </x:c>
      <x:c r="F90" t="str">
        <x:v>合并原数，非实体结论</x:v>
      </x:c>
    </x:row>
    <x:row r="91" ht="25" customHeight="1">
      <x:c r="B91" t="str">
        <x:v>R2021-10</x:v>
      </x:c>
      <x:c r="C91" t="n">
        <x:v>2021</x:v>
      </x:c>
      <x:c r="D91" t="str">
        <x:v>贵州茅台2021年报</x:v>
      </x:c>
      <x:c r="E91" t="str">
        <x:v>PDF／报告50页</x:v>
      </x:c>
      <x:c r="F91" t="str">
        <x:v>合并原数，非实体结论</x:v>
      </x:c>
    </x:row>
    <x:row r="92" ht="25" customHeight="1">
      <x:c r="B92" t="str">
        <x:v>R2022-09</x:v>
      </x:c>
      <x:c r="C92" t="n">
        <x:v>2022</x:v>
      </x:c>
      <x:c r="D92" t="str">
        <x:v>贵州茅台2022年报</x:v>
      </x:c>
      <x:c r="E92" t="str">
        <x:v>PDF／报告58—59页</x:v>
      </x:c>
      <x:c r="F92" t="str">
        <x:v>合并原数，非实体结论</x:v>
      </x:c>
    </x:row>
    <x:row r="93" ht="25" customHeight="1">
      <x:c r="B93" t="str">
        <x:v>R2023-09</x:v>
      </x:c>
      <x:c r="C93" t="n">
        <x:v>2023</x:v>
      </x:c>
      <x:c r="D93" t="str">
        <x:v>贵州茅台2023年报</x:v>
      </x:c>
      <x:c r="E93" t="str">
        <x:v>PDF／报告63页</x:v>
      </x:c>
      <x:c r="F93" t="str">
        <x:v>合并原数，非实体结论</x:v>
      </x:c>
    </x:row>
    <x:row r="94" ht="25" customHeight="1">
      <x:c r="B94" t="str">
        <x:v>R2023-10</x:v>
      </x:c>
      <x:c r="C94" t="n">
        <x:v>2023</x:v>
      </x:c>
      <x:c r="D94" t="str">
        <x:v>贵州茅台2023年报</x:v>
      </x:c>
      <x:c r="E94" t="str">
        <x:v>PDF／报告59页</x:v>
      </x:c>
      <x:c r="F94" t="str">
        <x:v>合并原数，非实体结论</x:v>
      </x:c>
    </x:row>
    <x:row r="95" ht="25" customHeight="1">
      <x:c r="B95" t="str">
        <x:v>R2025-08</x:v>
      </x:c>
      <x:c r="C95" t="n">
        <x:v>2025</x:v>
      </x:c>
      <x:c r="D95" t="str">
        <x:v>贵州茅台2025年报</x:v>
      </x:c>
      <x:c r="E95" t="str">
        <x:v>PDF／报告65页</x:v>
      </x:c>
      <x:c r="F95" t="str">
        <x:v>合并原数，非实体结论</x:v>
      </x:c>
    </x:row>
    <x:row r="96" ht="25" customHeight="1">
      <x:c r="B96" t="str">
        <x:v>R2025-18</x:v>
      </x:c>
      <x:c r="C96" t="n">
        <x:v>2025</x:v>
      </x:c>
      <x:c r="D96" t="str">
        <x:v>贵州茅台2025年报</x:v>
      </x:c>
      <x:c r="E96" t="str">
        <x:v>PDF／报告61页</x:v>
      </x:c>
      <x:c r="F96" t="str">
        <x:v>合并原数，非实体结论</x:v>
      </x:c>
    </x:row>
    <x:row r="97" ht="25" customHeight="1">
      <x:c r="B97" t="str">
        <x:v>R2025-21</x:v>
      </x:c>
      <x:c r="C97" t="n">
        <x:v>2025</x:v>
      </x:c>
      <x:c r="D97" t="str">
        <x:v>贵州茅台2025年报</x:v>
      </x:c>
      <x:c r="E97" t="str">
        <x:v>PDF／报告62、65页</x:v>
      </x:c>
      <x:c r="F97" t="str">
        <x:v>合并原数，非实体结论</x:v>
      </x:c>
    </x:row>
    <x:row r="98" ht="25" customHeight="1">
      <x:c r="B98" t="str">
        <x:v>R2025-22</x:v>
      </x:c>
      <x:c r="C98" t="n">
        <x:v>2025</x:v>
      </x:c>
      <x:c r="D98" t="str">
        <x:v>贵州茅台2025年报</x:v>
      </x:c>
      <x:c r="E98" t="str">
        <x:v>PDF／报告57页</x:v>
      </x:c>
      <x:c r="F98" t="str">
        <x:v>合并原数，非实体结论</x:v>
      </x:c>
    </x:row>
    <x:row r="99" ht="25" customHeight="1">
      <x:c r="B99" t="str">
        <x:v>R2025-23</x:v>
      </x:c>
      <x:c r="C99" t="n">
        <x:v>2025</x:v>
      </x:c>
      <x:c r="D99" t="str">
        <x:v>贵州茅台2025年报</x:v>
      </x:c>
      <x:c r="E99" t="str">
        <x:v>PDF／报告10页</x:v>
      </x:c>
      <x:c r="F99" t="str">
        <x:v>合并原数，非实体结论</x:v>
      </x:c>
    </x:row>
    <x:row r="100" ht="25" customHeight="1">
      <x:c r="B100" t="str">
        <x:v>R2025-24</x:v>
      </x:c>
      <x:c r="C100" t="n">
        <x:v>2025</x:v>
      </x:c>
      <x:c r="D100" t="str">
        <x:v>贵州茅台2025年报</x:v>
      </x:c>
      <x:c r="E100" t="str">
        <x:v>PDF物理115页</x:v>
      </x:c>
      <x:c r="F100" t="str">
        <x:v>合并原数，非实体结论</x:v>
      </x:c>
    </x:row>
    <x:row r="101" ht="25" customHeight="1">
      <x:c r="B101" t="str">
        <x:v>R2025-25</x:v>
      </x:c>
      <x:c r="C101" t="n">
        <x:v>2025</x:v>
      </x:c>
      <x:c r="D101" t="str">
        <x:v>贵州茅台2025年报</x:v>
      </x:c>
      <x:c r="E101" t="str">
        <x:v>PDF物理115页</x:v>
      </x:c>
      <x:c r="F101" t="str">
        <x:v>合并原数，非实体结论</x:v>
      </x:c>
    </x:row>
    <x:row r="102" ht="25" customHeight="1">
      <x:c r="B102" t="str">
        <x:v>R2025-26</x:v>
      </x:c>
      <x:c r="C102" t="n">
        <x:v>2025</x:v>
      </x:c>
      <x:c r="D102" t="str">
        <x:v>贵州茅台2025年报</x:v>
      </x:c>
      <x:c r="E102" t="str">
        <x:v>PDF物理115页</x:v>
      </x:c>
      <x:c r="F102" t="str">
        <x:v>合并原数，非实体结论</x:v>
      </x:c>
    </x:row>
    <x:row r="103" ht="25" customHeight="1">
      <x:c r="B103" t="str">
        <x:v>R2025-27</x:v>
      </x:c>
      <x:c r="C103" t="n">
        <x:v>2025</x:v>
      </x:c>
      <x:c r="D103" t="str">
        <x:v>贵州茅台2025年报</x:v>
      </x:c>
      <x:c r="E103" t="str">
        <x:v>PDF物理115页</x:v>
      </x:c>
      <x:c r="F103" t="str">
        <x:v>合并原数，非实体结论</x:v>
      </x:c>
    </x:row>
    <x:row r="104" ht="25" customHeight="1">
      <x:c r="B104" t="str">
        <x:v>R2025-28</x:v>
      </x:c>
      <x:c r="C104" t="n">
        <x:v>2025</x:v>
      </x:c>
      <x:c r="D104" t="str">
        <x:v>贵州茅台2025年报</x:v>
      </x:c>
      <x:c r="E104" t="str">
        <x:v>PDF物理115页</x:v>
      </x:c>
      <x:c r="F104" t="str">
        <x:v>合并原数，非实体结论</x:v>
      </x:c>
    </x:row>
    <x:row r="105" ht="25" customHeight="1">
      <x:c r="B105" t="str">
        <x:v>L03-A2020-C</x:v>
      </x:c>
      <x:c r="C105" t="n">
        <x:v>2020</x:v>
      </x:c>
      <x:c r="D105" t="str">
        <x:v>贵州茅台2020年报</x:v>
      </x:c>
      <x:c r="E105" t="str">
        <x:v>年度组定位见批注</x:v>
      </x:c>
      <x:c r="F105" t="str">
        <x:v>Agent核准，非本人亲查</x:v>
      </x:c>
    </x:row>
    <x:row r="106" ht="25" customHeight="1">
      <x:c r="B106" t="str">
        <x:v>L03-A2021-C</x:v>
      </x:c>
      <x:c r="C106" t="n">
        <x:v>2021</x:v>
      </x:c>
      <x:c r="D106" t="str">
        <x:v>贵州茅台2021年报</x:v>
      </x:c>
      <x:c r="E106" t="str">
        <x:v>年度组定位见批注</x:v>
      </x:c>
      <x:c r="F106" t="str">
        <x:v>Agent核准，非本人亲查</x:v>
      </x:c>
    </x:row>
    <x:row r="107" ht="25" customHeight="1">
      <x:c r="B107" t="str">
        <x:v>L03-A2022-C</x:v>
      </x:c>
      <x:c r="C107" t="n">
        <x:v>2022</x:v>
      </x:c>
      <x:c r="D107" t="str">
        <x:v>贵州茅台2022年报</x:v>
      </x:c>
      <x:c r="E107" t="str">
        <x:v>年度组定位见批注</x:v>
      </x:c>
      <x:c r="F107" t="str">
        <x:v>Agent核准，非本人亲查</x:v>
      </x:c>
    </x:row>
    <x:row r="108" ht="25" customHeight="1">
      <x:c r="B108" t="str">
        <x:v>L03-A2023-C</x:v>
      </x:c>
      <x:c r="C108" t="n">
        <x:v>2023</x:v>
      </x:c>
      <x:c r="D108" t="str">
        <x:v>贵州茅台2023年报</x:v>
      </x:c>
      <x:c r="E108" t="str">
        <x:v>年度组定位见批注</x:v>
      </x:c>
      <x:c r="F108" t="str">
        <x:v>Agent核准，非本人亲查</x:v>
      </x:c>
    </x:row>
    <x:row r="109" ht="25" customHeight="1">
      <x:c r="B109" t="str">
        <x:v>L03-A2024-C</x:v>
      </x:c>
      <x:c r="C109" t="n">
        <x:v>2024</x:v>
      </x:c>
      <x:c r="D109" t="str">
        <x:v>贵州茅台2024年报</x:v>
      </x:c>
      <x:c r="E109" t="str">
        <x:v>年度组定位见批注</x:v>
      </x:c>
      <x:c r="F109" t="str">
        <x:v>Agent核准，非本人亲查</x:v>
      </x:c>
    </x:row>
  </x:sheetData>
  <x:pageMargins left="0.7" right="0.7" top="0.75" bottom="0.75" header="0.3" footer="0.3"/>
  <x:legacyDrawing xmlns:r="http://schemas.openxmlformats.org/officeDocument/2006/relationships" r:id="Rd5dd862bc4cf4ff4"/>
</x:worksheet>
</file>